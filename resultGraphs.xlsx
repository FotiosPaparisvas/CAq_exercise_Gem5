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tis\Desktop\CAq_exercise\"/>
    </mc:Choice>
  </mc:AlternateContent>
  <xr:revisionPtr revIDLastSave="0" documentId="13_ncr:1_{36246537-74CB-4CCF-BD82-4E57DAE093F6}" xr6:coauthVersionLast="47" xr6:coauthVersionMax="47" xr10:uidLastSave="{00000000-0000-0000-0000-000000000000}"/>
  <bookViews>
    <workbookView xWindow="-120" yWindow="-120" windowWidth="29040" windowHeight="15840" xr2:uid="{683F4AB6-4645-4E64-9BB9-0C41C26BD0E1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7" i="1" l="1"/>
  <c r="C215" i="1"/>
  <c r="C213" i="1"/>
  <c r="C253" i="1"/>
  <c r="C237" i="1"/>
  <c r="C235" i="1"/>
  <c r="C233" i="1"/>
  <c r="C257" i="1"/>
  <c r="C255" i="1"/>
  <c r="C274" i="1"/>
  <c r="C272" i="1"/>
  <c r="C270" i="1"/>
  <c r="C289" i="1"/>
  <c r="C287" i="1"/>
  <c r="C285" i="1"/>
  <c r="M267" i="1" l="1"/>
  <c r="N267" i="1" s="1"/>
  <c r="M230" i="1"/>
  <c r="N230" i="1" s="1"/>
  <c r="K236" i="1" s="1"/>
  <c r="M210" i="1"/>
  <c r="N210" i="1" s="1"/>
  <c r="K214" i="1" s="1"/>
  <c r="M250" i="1"/>
  <c r="M282" i="1"/>
  <c r="N282" i="1" s="1"/>
  <c r="K290" i="1" l="1"/>
  <c r="K286" i="1"/>
  <c r="K288" i="1"/>
  <c r="K292" i="1"/>
  <c r="K284" i="1"/>
  <c r="J271" i="1"/>
  <c r="J212" i="1"/>
  <c r="K232" i="1"/>
  <c r="J269" i="1"/>
  <c r="J240" i="1"/>
  <c r="K238" i="1"/>
  <c r="K240" i="1"/>
  <c r="J277" i="1"/>
  <c r="K216" i="1"/>
  <c r="J273" i="1"/>
  <c r="K220" i="1"/>
  <c r="J275" i="1"/>
  <c r="K218" i="1"/>
  <c r="K271" i="1"/>
  <c r="K273" i="1"/>
  <c r="K275" i="1"/>
  <c r="K277" i="1"/>
  <c r="K269" i="1"/>
  <c r="K234" i="1"/>
  <c r="J258" i="1"/>
  <c r="N250" i="1"/>
  <c r="K212" i="1"/>
  <c r="J260" i="1"/>
  <c r="J234" i="1"/>
  <c r="J254" i="1"/>
  <c r="J220" i="1"/>
  <c r="J216" i="1"/>
  <c r="J218" i="1"/>
  <c r="J214" i="1"/>
  <c r="J238" i="1"/>
  <c r="J236" i="1"/>
  <c r="J232" i="1"/>
  <c r="J256" i="1"/>
  <c r="J284" i="1"/>
  <c r="J292" i="1"/>
  <c r="J286" i="1"/>
  <c r="J288" i="1"/>
  <c r="J290" i="1"/>
  <c r="J252" i="1"/>
  <c r="K258" i="1" l="1"/>
  <c r="K260" i="1"/>
  <c r="K252" i="1"/>
  <c r="K254" i="1"/>
  <c r="K256" i="1"/>
</calcChain>
</file>

<file path=xl/sharedStrings.xml><?xml version="1.0" encoding="utf-8"?>
<sst xmlns="http://schemas.openxmlformats.org/spreadsheetml/2006/main" count="426" uniqueCount="177">
  <si>
    <t>Default</t>
  </si>
  <si>
    <t>sim_seconds</t>
  </si>
  <si>
    <t>system.cpu.cpi</t>
  </si>
  <si>
    <t>system.cpu.dcache.overall_miss_rate::total</t>
  </si>
  <si>
    <t>system.cpu.icache.overall_miss_rate::total</t>
  </si>
  <si>
    <t>system.l2.overall_miss_rate::total</t>
  </si>
  <si>
    <t>Default/401bzip</t>
  </si>
  <si>
    <t>Default/429mcf</t>
  </si>
  <si>
    <t>Default/456hmmer</t>
  </si>
  <si>
    <t>Default/458sjeng</t>
  </si>
  <si>
    <t>Default/470lbm</t>
  </si>
  <si>
    <t>L1  dCache Miss Rate</t>
  </si>
  <si>
    <t>L1  iCache Miss Rate</t>
  </si>
  <si>
    <t>L2 Cache Miss Rate</t>
  </si>
  <si>
    <t>CPI</t>
  </si>
  <si>
    <t>Simulated Seconds</t>
  </si>
  <si>
    <t>401bzip</t>
  </si>
  <si>
    <t>429mcf</t>
  </si>
  <si>
    <t>456hmmer</t>
  </si>
  <si>
    <t>458sjeng</t>
  </si>
  <si>
    <t>470lbm</t>
  </si>
  <si>
    <t>Benchmarks</t>
  </si>
  <si>
    <t>1GHz/401bzip</t>
  </si>
  <si>
    <t>1GHz/429mcf</t>
  </si>
  <si>
    <t>1GHz/456hmmer</t>
  </si>
  <si>
    <t>1GHz/458sjeng</t>
  </si>
  <si>
    <t>1GHz/470lbm</t>
  </si>
  <si>
    <t>3GHz/401bzip</t>
  </si>
  <si>
    <t>3GHz/429mcf</t>
  </si>
  <si>
    <t>3GHz/456hmmer</t>
  </si>
  <si>
    <t>3GHz/458sjeng</t>
  </si>
  <si>
    <t>3GHz/470lbm</t>
  </si>
  <si>
    <t>DDR3_2133/401bzip</t>
  </si>
  <si>
    <t>DDR3_2133/429mcf</t>
  </si>
  <si>
    <t>DDR3_2133/456hmmer</t>
  </si>
  <si>
    <t>DDR3_2133/458sjeng</t>
  </si>
  <si>
    <t>DDR3_2133/470lbm</t>
  </si>
  <si>
    <t>1GHz-Default-3GHz</t>
  </si>
  <si>
    <t>Default-DDR3_2133</t>
  </si>
  <si>
    <t>L1_icache_size(16kb-32kb-64kb)</t>
  </si>
  <si>
    <t>L1_icache_size_16kB/401bzip</t>
  </si>
  <si>
    <t>L1_icache_size_64kB/401bzip</t>
  </si>
  <si>
    <t>L1_icache_size_16kB/429mcf</t>
  </si>
  <si>
    <t>L1_icache_size_64kB/429mcf</t>
  </si>
  <si>
    <t>L1_icache_size_16kB/456hmmer</t>
  </si>
  <si>
    <t>L1_icache_size_64kB/456hmmer</t>
  </si>
  <si>
    <t>L1_icache_size_16kB/458sjeng</t>
  </si>
  <si>
    <t>L1_icache_size_64kB/458sjeng</t>
  </si>
  <si>
    <t>L1_icache_size_16kB/470lbm</t>
  </si>
  <si>
    <t>L1_icache_size_64kB/470lbm</t>
  </si>
  <si>
    <t>L1_icache_assoc_1/401bzip</t>
  </si>
  <si>
    <t>L1_icache_assoc_4/401bzip</t>
  </si>
  <si>
    <t>L1_icache_assoc_1/429mcf</t>
  </si>
  <si>
    <t>L1_icache_assoc_4/429mcf</t>
  </si>
  <si>
    <t>L1_icache_assoc_1/456hmmer</t>
  </si>
  <si>
    <t>L1_icache_assoc_4/456hmmer</t>
  </si>
  <si>
    <t>L1_icache_assoc_1/458sjeng</t>
  </si>
  <si>
    <t>L1_icache_assoc_4/458sjeng</t>
  </si>
  <si>
    <t>L1_icache_assoc_1/470lbm</t>
  </si>
  <si>
    <t>L1_icache_assoc_4/470lbm</t>
  </si>
  <si>
    <t>L1 iCache Assoc - Default(2)|1|4</t>
  </si>
  <si>
    <t>L1 dCache Size - Default(64Kb)|32Kb|128Kb</t>
  </si>
  <si>
    <t>L1_dcache_size_32kB/401bzip</t>
  </si>
  <si>
    <t>L1_dcache_size_128kB/401bzip</t>
  </si>
  <si>
    <t>L1_dcache_size_32kB/429mcf</t>
  </si>
  <si>
    <t>L1_dcache_size_128kB/429mcf</t>
  </si>
  <si>
    <t>L1_dcache_size_32kB/456hmmer</t>
  </si>
  <si>
    <t>L1_dcache_size_128kB/456hmmer</t>
  </si>
  <si>
    <t>L1_dcache_size_32kB/458sjeng</t>
  </si>
  <si>
    <t>L1_dcache_size_128kB/458sjeng</t>
  </si>
  <si>
    <t>L1_dcache_size_32kB/470lbm</t>
  </si>
  <si>
    <t>L1_dcache_size_128kB/470lbm</t>
  </si>
  <si>
    <t>L1 dCache Assoc - Default(2)|1|4</t>
  </si>
  <si>
    <t>L1_dcache_assoc_1/401bzip</t>
  </si>
  <si>
    <t>L1_dcache_assoc_4/401bzip</t>
  </si>
  <si>
    <t>L1_dcache_assoc_1/429mcf</t>
  </si>
  <si>
    <t>L1_dcache_assoc_4/429mcf</t>
  </si>
  <si>
    <t>L1_dcache_assoc_1/456hmmer</t>
  </si>
  <si>
    <t>L1_dcache_assoc_4/456hmmer</t>
  </si>
  <si>
    <t>L1_dcache_assoc_1/458sjeng</t>
  </si>
  <si>
    <t>L1_dcache_assoc_4/458sjeng</t>
  </si>
  <si>
    <t>L1_dcache_assoc_1/470lbm</t>
  </si>
  <si>
    <t>L1_dcache_assoc_4/470lbm</t>
  </si>
  <si>
    <t>L2_Cache_size - Default(2Mb)|1Mb|4Mb</t>
  </si>
  <si>
    <t>L2_cache_size_1MB/401bzip</t>
  </si>
  <si>
    <t>L2_cache_size_4MB/401bzip</t>
  </si>
  <si>
    <t>L2_cache_size_1MB/429mcf</t>
  </si>
  <si>
    <t>L2_cache_size_4MB/429mcf</t>
  </si>
  <si>
    <t>L2_cache_size_1MB/456hmmer</t>
  </si>
  <si>
    <t>L2_cache_size_4MB/456hmmer</t>
  </si>
  <si>
    <t>L2_cache_size_1MB/458sjeng</t>
  </si>
  <si>
    <t>L2_cache_size_4MB/458sjeng</t>
  </si>
  <si>
    <t>L2_cache_size_1MB/470lbm</t>
  </si>
  <si>
    <t>L2_cache_size_4MB/470lbm</t>
  </si>
  <si>
    <t>L2_cache_assoc_4/401bzip</t>
  </si>
  <si>
    <t>L2_cache_assoc_2/401bzip</t>
  </si>
  <si>
    <t>L2_cache_assoc_4/429mcf</t>
  </si>
  <si>
    <t>L2_cache_assoc_2/429mcf</t>
  </si>
  <si>
    <t>L2_cache_assoc_4/456hmmer</t>
  </si>
  <si>
    <t>L2_cache_assoc_2/456hmmer</t>
  </si>
  <si>
    <t>L2_cache_assoc_4/458sjeng</t>
  </si>
  <si>
    <t>L2_cache_assoc_2/458sjeng</t>
  </si>
  <si>
    <t>L2_cache_assoc_4/470lbm</t>
  </si>
  <si>
    <t>L2_cache_assoc_2/470lbm</t>
  </si>
  <si>
    <t>L2 Cache Assoc - Default(8)|4|2</t>
  </si>
  <si>
    <t>Cacheline Size - Default(64)|32|128</t>
  </si>
  <si>
    <t>Cacheline_size_32/401bzip</t>
  </si>
  <si>
    <t>Cacheline_size_128/401bzip</t>
  </si>
  <si>
    <t>Cacheline_size_32/429mcf</t>
  </si>
  <si>
    <t>Cacheline_size_128/429mcf</t>
  </si>
  <si>
    <t>Cacheline_size_32/456hmmer</t>
  </si>
  <si>
    <t>Cacheline_size_128/456hmmer</t>
  </si>
  <si>
    <t>Cacheline_size_32/458sjeng</t>
  </si>
  <si>
    <t>Cacheline_size_128/458sjeng</t>
  </si>
  <si>
    <t>Cacheline_size_32/470lbm</t>
  </si>
  <si>
    <t>Cacheline_size_128/470lbm</t>
  </si>
  <si>
    <t>Opt1</t>
  </si>
  <si>
    <t>opt2</t>
  </si>
  <si>
    <t>opt3</t>
  </si>
  <si>
    <t>opt4</t>
  </si>
  <si>
    <t>opt5</t>
  </si>
  <si>
    <t>opt1/401bzip</t>
  </si>
  <si>
    <t>opt1/429mcf</t>
  </si>
  <si>
    <t>opt1/456hmmer</t>
  </si>
  <si>
    <t>opt1/458sjeng</t>
  </si>
  <si>
    <t>opt1/470lbm</t>
  </si>
  <si>
    <t>opt2/401bzip</t>
  </si>
  <si>
    <t>opt2/429mcf</t>
  </si>
  <si>
    <t>opt2/456hmmer</t>
  </si>
  <si>
    <t>opt2/458sjeng</t>
  </si>
  <si>
    <t>opt2/470lbm</t>
  </si>
  <si>
    <t>opt3/401bzip</t>
  </si>
  <si>
    <t>opt3/429mcf</t>
  </si>
  <si>
    <t>opt3/456hmmer</t>
  </si>
  <si>
    <t>opt3/458sjeng</t>
  </si>
  <si>
    <t>opt3/470lbm</t>
  </si>
  <si>
    <t>opt4/401bzip</t>
  </si>
  <si>
    <t>opt4/429mcf</t>
  </si>
  <si>
    <t>opt4/456hmmer</t>
  </si>
  <si>
    <t>opt4/458sjeng</t>
  </si>
  <si>
    <t>opt4/470lbm</t>
  </si>
  <si>
    <t>opt5/401bzip</t>
  </si>
  <si>
    <t>opt5/429mcf</t>
  </si>
  <si>
    <t>opt5/456hmmer</t>
  </si>
  <si>
    <t>opt5/458sjeng</t>
  </si>
  <si>
    <t>opt5/470lbm</t>
  </si>
  <si>
    <t>Parameter</t>
  </si>
  <si>
    <t>Value</t>
  </si>
  <si>
    <t>CPU Type</t>
  </si>
  <si>
    <t>MinorCPU</t>
  </si>
  <si>
    <t>CPU Clock</t>
  </si>
  <si>
    <t>3GHz</t>
  </si>
  <si>
    <t>L1 Instruction Cache Size</t>
  </si>
  <si>
    <t>32kB</t>
  </si>
  <si>
    <t>L1 Instruction Assoc</t>
  </si>
  <si>
    <t>L1 Data Cache Size</t>
  </si>
  <si>
    <t>L1 Data Assoc</t>
  </si>
  <si>
    <t>L2 Cache Size</t>
  </si>
  <si>
    <t>512kB</t>
  </si>
  <si>
    <t>L2 Cache Assoc</t>
  </si>
  <si>
    <t>Cache Line Size</t>
  </si>
  <si>
    <t>64B</t>
  </si>
  <si>
    <t>64kB</t>
  </si>
  <si>
    <t>2MB</t>
  </si>
  <si>
    <t>128B</t>
  </si>
  <si>
    <t>4MB</t>
  </si>
  <si>
    <t>128kB</t>
  </si>
  <si>
    <t>Value for Calculations</t>
  </si>
  <si>
    <t>Value For Caclulations</t>
  </si>
  <si>
    <t>Value For Calculations</t>
  </si>
  <si>
    <t>Value For calulcations</t>
  </si>
  <si>
    <t>COST:</t>
  </si>
  <si>
    <t>C-P RATIO</t>
  </si>
  <si>
    <t>opt1</t>
  </si>
  <si>
    <t>Log10(COST)</t>
  </si>
  <si>
    <t>Result CP Ratios</t>
  </si>
  <si>
    <t>Result CP Ratios Normalized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</si>
</sst>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/>
    <xf numFmtId="0" fontId="3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2">
    <cellStyle name="Κανονικό" xfId="0" builtinId="0"/>
    <cellStyle name="Υπερ-σύνδεση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CPI - Default 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Φύλλο1!$A$3:$A$7</c:f>
              <c:strCache>
                <c:ptCount val="5"/>
                <c:pt idx="0">
                  <c:v>401bzip</c:v>
                </c:pt>
                <c:pt idx="1">
                  <c:v>429mcf</c:v>
                </c:pt>
                <c:pt idx="2">
                  <c:v>456hmmer</c:v>
                </c:pt>
                <c:pt idx="3">
                  <c:v>458sjeng</c:v>
                </c:pt>
                <c:pt idx="4">
                  <c:v>470lbm</c:v>
                </c:pt>
              </c:strCache>
            </c:strRef>
          </c:cat>
          <c:val>
            <c:numRef>
              <c:f>Φύλλο1!$C$3:$C$7</c:f>
              <c:numCache>
                <c:formatCode>General</c:formatCode>
                <c:ptCount val="5"/>
                <c:pt idx="0">
                  <c:v>1.6796500000000001</c:v>
                </c:pt>
                <c:pt idx="1">
                  <c:v>1.2990950000000001</c:v>
                </c:pt>
                <c:pt idx="2">
                  <c:v>1.1879169999999999</c:v>
                </c:pt>
                <c:pt idx="3">
                  <c:v>10.270554000000001</c:v>
                </c:pt>
                <c:pt idx="4">
                  <c:v>3.4934150000000002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D6-4854-87B7-9636CBFF5B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Simulated seconds - Default 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Φύλλο1!$A$3:$A$7</c:f>
              <c:strCache>
                <c:ptCount val="5"/>
                <c:pt idx="0">
                  <c:v>401bzip</c:v>
                </c:pt>
                <c:pt idx="1">
                  <c:v>429mcf</c:v>
                </c:pt>
                <c:pt idx="2">
                  <c:v>456hmmer</c:v>
                </c:pt>
                <c:pt idx="3">
                  <c:v>458sjeng</c:v>
                </c:pt>
                <c:pt idx="4">
                  <c:v>470lbm</c:v>
                </c:pt>
              </c:strCache>
            </c:strRef>
          </c:cat>
          <c:val>
            <c:numRef>
              <c:f>Φύλλο1!$B$3:$B$7</c:f>
              <c:numCache>
                <c:formatCode>0.0000</c:formatCode>
                <c:ptCount val="5"/>
                <c:pt idx="0">
                  <c:v>8.3982000000000001E-2</c:v>
                </c:pt>
                <c:pt idx="1">
                  <c:v>6.4954999999999999E-2</c:v>
                </c:pt>
                <c:pt idx="2">
                  <c:v>5.9395999999999997E-2</c:v>
                </c:pt>
                <c:pt idx="3">
                  <c:v>0.51352799999999998</c:v>
                </c:pt>
                <c:pt idx="4">
                  <c:v>0.17467099999999999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03-4AB7-98BD-729F0F95D3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L1  dCache Miss Rate - Default 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Φύλλο1!$A$3:$A$7</c:f>
              <c:strCache>
                <c:ptCount val="5"/>
                <c:pt idx="0">
                  <c:v>401bzip</c:v>
                </c:pt>
                <c:pt idx="1">
                  <c:v>429mcf</c:v>
                </c:pt>
                <c:pt idx="2">
                  <c:v>456hmmer</c:v>
                </c:pt>
                <c:pt idx="3">
                  <c:v>458sjeng</c:v>
                </c:pt>
                <c:pt idx="4">
                  <c:v>470lbm</c:v>
                </c:pt>
              </c:strCache>
            </c:strRef>
          </c:cat>
          <c:val>
            <c:numRef>
              <c:f>Φύλλο1!$D$3:$D$7</c:f>
              <c:numCache>
                <c:formatCode>General</c:formatCode>
                <c:ptCount val="5"/>
                <c:pt idx="0">
                  <c:v>1.4798E-2</c:v>
                </c:pt>
                <c:pt idx="1">
                  <c:v>2.1080000000000001E-3</c:v>
                </c:pt>
                <c:pt idx="2">
                  <c:v>1.637E-3</c:v>
                </c:pt>
                <c:pt idx="3">
                  <c:v>0.12183099999999999</c:v>
                </c:pt>
                <c:pt idx="4">
                  <c:v>6.0971999999999998E-2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9-42EE-B6C9-D681EE4808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L1  iCache Miss Rate - Default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Φύλλο1!$A$3:$A$7</c:f>
              <c:strCache>
                <c:ptCount val="5"/>
                <c:pt idx="0">
                  <c:v>401bzip</c:v>
                </c:pt>
                <c:pt idx="1">
                  <c:v>429mcf</c:v>
                </c:pt>
                <c:pt idx="2">
                  <c:v>456hmmer</c:v>
                </c:pt>
                <c:pt idx="3">
                  <c:v>458sjeng</c:v>
                </c:pt>
                <c:pt idx="4">
                  <c:v>470lbm</c:v>
                </c:pt>
              </c:strCache>
            </c:strRef>
          </c:cat>
          <c:val>
            <c:numRef>
              <c:f>Φύλλο1!$E$3:$E$7</c:f>
              <c:numCache>
                <c:formatCode>General</c:formatCode>
                <c:ptCount val="5"/>
                <c:pt idx="0">
                  <c:v>7.7000000000000001E-5</c:v>
                </c:pt>
                <c:pt idx="1">
                  <c:v>2.3612000000000001E-2</c:v>
                </c:pt>
                <c:pt idx="2">
                  <c:v>2.2100000000000001E-4</c:v>
                </c:pt>
                <c:pt idx="3">
                  <c:v>2.0000000000000002E-5</c:v>
                </c:pt>
                <c:pt idx="4">
                  <c:v>9.3999999999999994E-5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A-4230-9B28-CCF5B89B0A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L2 Cache Miss Rate - Default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Φύλλο1!$A$3:$A$7</c:f>
              <c:strCache>
                <c:ptCount val="5"/>
                <c:pt idx="0">
                  <c:v>401bzip</c:v>
                </c:pt>
                <c:pt idx="1">
                  <c:v>429mcf</c:v>
                </c:pt>
                <c:pt idx="2">
                  <c:v>456hmmer</c:v>
                </c:pt>
                <c:pt idx="3">
                  <c:v>458sjeng</c:v>
                </c:pt>
                <c:pt idx="4">
                  <c:v>470lbm</c:v>
                </c:pt>
              </c:strCache>
            </c:strRef>
          </c:cat>
          <c:val>
            <c:numRef>
              <c:f>Φύλλο1!$F$3:$F$7</c:f>
              <c:numCache>
                <c:formatCode>General</c:formatCode>
                <c:ptCount val="5"/>
                <c:pt idx="0">
                  <c:v>0.282163</c:v>
                </c:pt>
                <c:pt idx="1">
                  <c:v>5.5045999999999998E-2</c:v>
                </c:pt>
                <c:pt idx="2">
                  <c:v>7.7759999999999996E-2</c:v>
                </c:pt>
                <c:pt idx="3">
                  <c:v>0.99997199999999997</c:v>
                </c:pt>
                <c:pt idx="4">
                  <c:v>0.99994400000000006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B-42B4-868F-0A4E7E808C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Cpu Clock - Default(2GHz)|1GHz|3GHz 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Φύλλο1!$A$18:$A$32</c:f>
              <c:strCache>
                <c:ptCount val="15"/>
                <c:pt idx="0">
                  <c:v>Default/401bzip</c:v>
                </c:pt>
                <c:pt idx="1">
                  <c:v>1GHz/401bzip</c:v>
                </c:pt>
                <c:pt idx="2">
                  <c:v>3GHz/401bzip</c:v>
                </c:pt>
                <c:pt idx="3">
                  <c:v>Default/429mcf</c:v>
                </c:pt>
                <c:pt idx="4">
                  <c:v>1GHz/429mcf</c:v>
                </c:pt>
                <c:pt idx="5">
                  <c:v>3GHz/429mcf</c:v>
                </c:pt>
                <c:pt idx="6">
                  <c:v>Default/456hmmer</c:v>
                </c:pt>
                <c:pt idx="7">
                  <c:v>1GHz/456hmmer</c:v>
                </c:pt>
                <c:pt idx="8">
                  <c:v>3GHz/456hmmer</c:v>
                </c:pt>
                <c:pt idx="9">
                  <c:v>Default/458sjeng</c:v>
                </c:pt>
                <c:pt idx="10">
                  <c:v>1GHz/458sjeng</c:v>
                </c:pt>
                <c:pt idx="11">
                  <c:v>3GHz/458sjeng</c:v>
                </c:pt>
                <c:pt idx="12">
                  <c:v>Default/470lbm</c:v>
                </c:pt>
                <c:pt idx="13">
                  <c:v>1GHz/470lbm</c:v>
                </c:pt>
                <c:pt idx="14">
                  <c:v>3GHz/470lbm</c:v>
                </c:pt>
              </c:strCache>
            </c:strRef>
          </c:cat>
          <c:val>
            <c:numRef>
              <c:f>Φύλλο1!$B$18:$B$32</c:f>
              <c:numCache>
                <c:formatCode>0.0000</c:formatCode>
                <c:ptCount val="15"/>
                <c:pt idx="0">
                  <c:v>8.3982000000000001E-2</c:v>
                </c:pt>
                <c:pt idx="1">
                  <c:v>0.161025</c:v>
                </c:pt>
                <c:pt idx="2">
                  <c:v>5.8384999999999999E-2</c:v>
                </c:pt>
                <c:pt idx="3">
                  <c:v>6.4954999999999999E-2</c:v>
                </c:pt>
                <c:pt idx="4">
                  <c:v>0.127942</c:v>
                </c:pt>
                <c:pt idx="5">
                  <c:v>4.3867000000000003E-2</c:v>
                </c:pt>
                <c:pt idx="6">
                  <c:v>5.9395999999999997E-2</c:v>
                </c:pt>
                <c:pt idx="7">
                  <c:v>0.11853</c:v>
                </c:pt>
                <c:pt idx="8">
                  <c:v>3.9646000000000001E-2</c:v>
                </c:pt>
                <c:pt idx="9">
                  <c:v>0.51352799999999998</c:v>
                </c:pt>
                <c:pt idx="10">
                  <c:v>0.70405600000000002</c:v>
                </c:pt>
                <c:pt idx="11">
                  <c:v>0.44982100000000003</c:v>
                </c:pt>
                <c:pt idx="12">
                  <c:v>0.17467099999999999</c:v>
                </c:pt>
                <c:pt idx="13">
                  <c:v>0.26232699999999998</c:v>
                </c:pt>
                <c:pt idx="14">
                  <c:v>0.14643300000000001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23-44F3-A781-715DF6E3EC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cap="all" baseline="0">
                    <a:solidFill>
                      <a:sysClr val="window" lastClr="FFFFFF">
                        <a:lumMod val="85000"/>
                      </a:sysClr>
                    </a:solidFill>
                  </a:rPr>
                  <a:t>Simulated Seconds</a:t>
                </a:r>
                <a:endParaRPr lang="el-GR" sz="900" b="1" i="0" u="none" strike="noStrike" kern="1200" cap="all" baseline="0">
                  <a:solidFill>
                    <a:sysClr val="window" lastClr="FFFFFF">
                      <a:lumMod val="8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Memory Type</a:t>
            </a:r>
            <a:r>
              <a:rPr lang="en-US" baseline="0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 - </a:t>
            </a: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Default|DDR3_2133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Φύλλο1!$A$39:$A$48</c:f>
              <c:strCache>
                <c:ptCount val="10"/>
                <c:pt idx="0">
                  <c:v>Default/401bzip</c:v>
                </c:pt>
                <c:pt idx="1">
                  <c:v>DDR3_2133/401bzip</c:v>
                </c:pt>
                <c:pt idx="2">
                  <c:v>Default/429mcf</c:v>
                </c:pt>
                <c:pt idx="3">
                  <c:v>DDR3_2133/429mcf</c:v>
                </c:pt>
                <c:pt idx="4">
                  <c:v>Default/456hmmer</c:v>
                </c:pt>
                <c:pt idx="5">
                  <c:v>DDR3_2133/456hmmer</c:v>
                </c:pt>
                <c:pt idx="6">
                  <c:v>Default/458sjeng</c:v>
                </c:pt>
                <c:pt idx="7">
                  <c:v>DDR3_2133/458sjeng</c:v>
                </c:pt>
                <c:pt idx="8">
                  <c:v>Default/470lbm</c:v>
                </c:pt>
                <c:pt idx="9">
                  <c:v>DDR3_2133/470lbm</c:v>
                </c:pt>
              </c:strCache>
            </c:strRef>
          </c:cat>
          <c:val>
            <c:numRef>
              <c:f>Φύλλο1!$B$39:$B$48</c:f>
              <c:numCache>
                <c:formatCode>0.0000</c:formatCode>
                <c:ptCount val="10"/>
                <c:pt idx="0">
                  <c:v>8.3982000000000001E-2</c:v>
                </c:pt>
                <c:pt idx="1">
                  <c:v>8.3609000000000003E-2</c:v>
                </c:pt>
                <c:pt idx="2">
                  <c:v>6.4954999999999999E-2</c:v>
                </c:pt>
                <c:pt idx="3">
                  <c:v>6.4892000000000005E-2</c:v>
                </c:pt>
                <c:pt idx="4">
                  <c:v>5.9395999999999997E-2</c:v>
                </c:pt>
                <c:pt idx="5">
                  <c:v>5.9386000000000001E-2</c:v>
                </c:pt>
                <c:pt idx="6">
                  <c:v>0.51352799999999998</c:v>
                </c:pt>
                <c:pt idx="7">
                  <c:v>0.49312800000000001</c:v>
                </c:pt>
                <c:pt idx="8">
                  <c:v>0.17467099999999999</c:v>
                </c:pt>
                <c:pt idx="9">
                  <c:v>0.17152999999999999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38-485D-B403-86ED37AED3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L1 iCache</a:t>
            </a:r>
            <a:r>
              <a:rPr lang="en-US" baseline="0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 Size - </a:t>
            </a: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Default(32Kb)|16Kb|64Kb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Φύλλο1!$A$61:$A$75</c:f>
              <c:strCache>
                <c:ptCount val="15"/>
                <c:pt idx="0">
                  <c:v>L1_icache_size_16kB/401bzip</c:v>
                </c:pt>
                <c:pt idx="1">
                  <c:v>Default/401bzip</c:v>
                </c:pt>
                <c:pt idx="2">
                  <c:v>L1_icache_size_64kB/401bzip</c:v>
                </c:pt>
                <c:pt idx="3">
                  <c:v>L1_icache_size_16kB/429mcf</c:v>
                </c:pt>
                <c:pt idx="4">
                  <c:v>Default/429mcf</c:v>
                </c:pt>
                <c:pt idx="5">
                  <c:v>L1_icache_size_64kB/429mcf</c:v>
                </c:pt>
                <c:pt idx="6">
                  <c:v>L1_icache_size_16kB/456hmmer</c:v>
                </c:pt>
                <c:pt idx="7">
                  <c:v>Default/456hmmer</c:v>
                </c:pt>
                <c:pt idx="8">
                  <c:v>L1_icache_size_64kB/456hmmer</c:v>
                </c:pt>
                <c:pt idx="9">
                  <c:v>L1_icache_size_16kB/458sjeng</c:v>
                </c:pt>
                <c:pt idx="10">
                  <c:v>Default/458sjeng</c:v>
                </c:pt>
                <c:pt idx="11">
                  <c:v>L1_icache_size_64kB/458sjeng</c:v>
                </c:pt>
                <c:pt idx="12">
                  <c:v>L1_icache_size_16kB/470lbm</c:v>
                </c:pt>
                <c:pt idx="13">
                  <c:v>Default/470lbm</c:v>
                </c:pt>
                <c:pt idx="14">
                  <c:v>L1_icache_size_64kB/470lbm</c:v>
                </c:pt>
              </c:strCache>
            </c:strRef>
          </c:cat>
          <c:val>
            <c:numRef>
              <c:f>Φύλλο1!$B$61:$B$75</c:f>
              <c:numCache>
                <c:formatCode>0.0000</c:formatCode>
                <c:ptCount val="15"/>
                <c:pt idx="0">
                  <c:v>8.4006999999999998E-2</c:v>
                </c:pt>
                <c:pt idx="1">
                  <c:v>8.3982000000000001E-2</c:v>
                </c:pt>
                <c:pt idx="2">
                  <c:v>8.3993999999999999E-2</c:v>
                </c:pt>
                <c:pt idx="3">
                  <c:v>7.0115999999999998E-2</c:v>
                </c:pt>
                <c:pt idx="4">
                  <c:v>6.4954999999999999E-2</c:v>
                </c:pt>
                <c:pt idx="5">
                  <c:v>5.7779999999999998E-2</c:v>
                </c:pt>
                <c:pt idx="6">
                  <c:v>5.9431999999999999E-2</c:v>
                </c:pt>
                <c:pt idx="7">
                  <c:v>5.9395999999999997E-2</c:v>
                </c:pt>
                <c:pt idx="8">
                  <c:v>5.9386000000000001E-2</c:v>
                </c:pt>
                <c:pt idx="9">
                  <c:v>0.51354500000000003</c:v>
                </c:pt>
                <c:pt idx="10">
                  <c:v>0.51352799999999998</c:v>
                </c:pt>
                <c:pt idx="11">
                  <c:v>0.51352399999999998</c:v>
                </c:pt>
                <c:pt idx="12">
                  <c:v>0.17519100000000001</c:v>
                </c:pt>
                <c:pt idx="13">
                  <c:v>0.17467099999999999</c:v>
                </c:pt>
                <c:pt idx="14">
                  <c:v>0.17467099999999999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9-42A5-AF8D-59DC7D1628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L1 iCache</a:t>
            </a:r>
            <a:r>
              <a:rPr lang="en-US" baseline="0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 Assoc - </a:t>
            </a: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Default(2)|1|4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Φύλλο1!$A$81:$A$95</c:f>
              <c:strCache>
                <c:ptCount val="15"/>
                <c:pt idx="0">
                  <c:v>L1_icache_assoc_1/401bzip</c:v>
                </c:pt>
                <c:pt idx="1">
                  <c:v>Default/401bzip</c:v>
                </c:pt>
                <c:pt idx="2">
                  <c:v>L1_icache_assoc_4/401bzip</c:v>
                </c:pt>
                <c:pt idx="3">
                  <c:v>L1_icache_assoc_1/429mcf</c:v>
                </c:pt>
                <c:pt idx="4">
                  <c:v>Default/429mcf</c:v>
                </c:pt>
                <c:pt idx="5">
                  <c:v>L1_icache_assoc_4/429mcf</c:v>
                </c:pt>
                <c:pt idx="6">
                  <c:v>L1_icache_assoc_1/456hmmer</c:v>
                </c:pt>
                <c:pt idx="7">
                  <c:v>Default/456hmmer</c:v>
                </c:pt>
                <c:pt idx="8">
                  <c:v>L1_icache_assoc_4/456hmmer</c:v>
                </c:pt>
                <c:pt idx="9">
                  <c:v>L1_icache_assoc_1/458sjeng</c:v>
                </c:pt>
                <c:pt idx="10">
                  <c:v>Default/458sjeng</c:v>
                </c:pt>
                <c:pt idx="11">
                  <c:v>L1_icache_assoc_4/458sjeng</c:v>
                </c:pt>
                <c:pt idx="12">
                  <c:v>L1_icache_assoc_1/470lbm</c:v>
                </c:pt>
                <c:pt idx="13">
                  <c:v>Default/470lbm</c:v>
                </c:pt>
                <c:pt idx="14">
                  <c:v>L1_icache_assoc_4/470lbm</c:v>
                </c:pt>
              </c:strCache>
            </c:strRef>
          </c:cat>
          <c:val>
            <c:numRef>
              <c:f>Φύλλο1!$B$81:$B$95</c:f>
              <c:numCache>
                <c:formatCode>0.0000</c:formatCode>
                <c:ptCount val="15"/>
                <c:pt idx="0">
                  <c:v>8.3998000000000003E-2</c:v>
                </c:pt>
                <c:pt idx="1">
                  <c:v>8.3982000000000001E-2</c:v>
                </c:pt>
                <c:pt idx="2">
                  <c:v>8.3991999999999997E-2</c:v>
                </c:pt>
                <c:pt idx="3">
                  <c:v>6.6777000000000003E-2</c:v>
                </c:pt>
                <c:pt idx="4">
                  <c:v>6.4954999999999999E-2</c:v>
                </c:pt>
                <c:pt idx="5">
                  <c:v>5.7772999999999998E-2</c:v>
                </c:pt>
                <c:pt idx="6">
                  <c:v>6.5851999999999994E-2</c:v>
                </c:pt>
                <c:pt idx="7">
                  <c:v>5.9395999999999997E-2</c:v>
                </c:pt>
                <c:pt idx="8">
                  <c:v>5.9388999999999997E-2</c:v>
                </c:pt>
                <c:pt idx="9">
                  <c:v>0.51353599999999999</c:v>
                </c:pt>
                <c:pt idx="10">
                  <c:v>0.51352799999999998</c:v>
                </c:pt>
                <c:pt idx="11">
                  <c:v>0.51353300000000002</c:v>
                </c:pt>
                <c:pt idx="12">
                  <c:v>0.174648</c:v>
                </c:pt>
                <c:pt idx="13">
                  <c:v>0.17467099999999999</c:v>
                </c:pt>
                <c:pt idx="14">
                  <c:v>0.17466499999999999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D-4458-B68A-869BA220A7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L1 dCache Size - Default(64Kb)|32Kb|128Kb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Φύλλο1!$A$103:$A$117</c:f>
              <c:strCache>
                <c:ptCount val="15"/>
                <c:pt idx="0">
                  <c:v>L1_dcache_size_32kB/401bzip</c:v>
                </c:pt>
                <c:pt idx="1">
                  <c:v>Default/401bzip</c:v>
                </c:pt>
                <c:pt idx="2">
                  <c:v>L1_dcache_size_128kB/401bzip</c:v>
                </c:pt>
                <c:pt idx="3">
                  <c:v>L1_dcache_size_32kB/429mcf</c:v>
                </c:pt>
                <c:pt idx="4">
                  <c:v>Default/429mcf</c:v>
                </c:pt>
                <c:pt idx="5">
                  <c:v>L1_dcache_size_128kB/429mcf</c:v>
                </c:pt>
                <c:pt idx="6">
                  <c:v>L1_dcache_size_32kB/456hmmer</c:v>
                </c:pt>
                <c:pt idx="7">
                  <c:v>Default/456hmmer</c:v>
                </c:pt>
                <c:pt idx="8">
                  <c:v>L1_dcache_size_128kB/456hmmer</c:v>
                </c:pt>
                <c:pt idx="9">
                  <c:v>L1_dcache_size_32kB/458sjeng</c:v>
                </c:pt>
                <c:pt idx="10">
                  <c:v>Default/458sjeng</c:v>
                </c:pt>
                <c:pt idx="11">
                  <c:v>L1_dcache_size_128kB/458sjeng</c:v>
                </c:pt>
                <c:pt idx="12">
                  <c:v>L1_dcache_size_32kB/470lbm</c:v>
                </c:pt>
                <c:pt idx="13">
                  <c:v>Default/470lbm</c:v>
                </c:pt>
                <c:pt idx="14">
                  <c:v>L1_dcache_size_128kB/470lbm</c:v>
                </c:pt>
              </c:strCache>
            </c:strRef>
          </c:cat>
          <c:val>
            <c:numRef>
              <c:f>Φύλλο1!$B$103:$B$117</c:f>
              <c:numCache>
                <c:formatCode>0.0000</c:formatCode>
                <c:ptCount val="15"/>
                <c:pt idx="0">
                  <c:v>8.5315000000000002E-2</c:v>
                </c:pt>
                <c:pt idx="1">
                  <c:v>8.3982000000000001E-2</c:v>
                </c:pt>
                <c:pt idx="2">
                  <c:v>8.2520999999999997E-2</c:v>
                </c:pt>
                <c:pt idx="3">
                  <c:v>6.4989000000000005E-2</c:v>
                </c:pt>
                <c:pt idx="4">
                  <c:v>6.4954999999999999E-2</c:v>
                </c:pt>
                <c:pt idx="5">
                  <c:v>6.4925999999999998E-2</c:v>
                </c:pt>
                <c:pt idx="6">
                  <c:v>5.9567000000000002E-2</c:v>
                </c:pt>
                <c:pt idx="7">
                  <c:v>5.9395999999999997E-2</c:v>
                </c:pt>
                <c:pt idx="8">
                  <c:v>5.9309000000000001E-2</c:v>
                </c:pt>
                <c:pt idx="9">
                  <c:v>0.51352600000000004</c:v>
                </c:pt>
                <c:pt idx="10">
                  <c:v>0.51352799999999998</c:v>
                </c:pt>
                <c:pt idx="11">
                  <c:v>0.51352600000000004</c:v>
                </c:pt>
                <c:pt idx="12">
                  <c:v>0.17469100000000001</c:v>
                </c:pt>
                <c:pt idx="13">
                  <c:v>0.17467099999999999</c:v>
                </c:pt>
                <c:pt idx="14">
                  <c:v>0.17467099999999999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2-4306-BFC5-0ECB68C62B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L1 dCache Assoc - Default(2)|1|4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Φύλλο1!$A$126:$A$140</c:f>
              <c:strCache>
                <c:ptCount val="15"/>
                <c:pt idx="0">
                  <c:v>L1_dcache_assoc_1/401bzip</c:v>
                </c:pt>
                <c:pt idx="1">
                  <c:v>Default/401bzip</c:v>
                </c:pt>
                <c:pt idx="2">
                  <c:v>L1_dcache_assoc_4/401bzip</c:v>
                </c:pt>
                <c:pt idx="3">
                  <c:v>L1_dcache_assoc_1/429mcf</c:v>
                </c:pt>
                <c:pt idx="4">
                  <c:v>Default/429mcf</c:v>
                </c:pt>
                <c:pt idx="5">
                  <c:v>L1_dcache_assoc_4/429mcf</c:v>
                </c:pt>
                <c:pt idx="6">
                  <c:v>L1_dcache_assoc_1/456hmmer</c:v>
                </c:pt>
                <c:pt idx="7">
                  <c:v>Default/456hmmer</c:v>
                </c:pt>
                <c:pt idx="8">
                  <c:v>L1_dcache_assoc_4/456hmmer</c:v>
                </c:pt>
                <c:pt idx="9">
                  <c:v>L1_dcache_assoc_1/458sjeng</c:v>
                </c:pt>
                <c:pt idx="10">
                  <c:v>Default/458sjeng</c:v>
                </c:pt>
                <c:pt idx="11">
                  <c:v>L1_dcache_assoc_4/458sjeng</c:v>
                </c:pt>
                <c:pt idx="12">
                  <c:v>L1_dcache_assoc_1/470lbm</c:v>
                </c:pt>
                <c:pt idx="13">
                  <c:v>Default/470lbm</c:v>
                </c:pt>
                <c:pt idx="14">
                  <c:v>L1_dcache_assoc_4/470lbm</c:v>
                </c:pt>
              </c:strCache>
            </c:strRef>
          </c:cat>
          <c:val>
            <c:numRef>
              <c:f>Φύλλο1!$B$126:$B$140</c:f>
              <c:numCache>
                <c:formatCode>0.0000</c:formatCode>
                <c:ptCount val="15"/>
                <c:pt idx="0">
                  <c:v>8.5575999999999999E-2</c:v>
                </c:pt>
                <c:pt idx="1">
                  <c:v>8.3982000000000001E-2</c:v>
                </c:pt>
                <c:pt idx="2">
                  <c:v>8.3183999999999994E-2</c:v>
                </c:pt>
                <c:pt idx="3">
                  <c:v>6.5047999999999995E-2</c:v>
                </c:pt>
                <c:pt idx="4">
                  <c:v>6.4954999999999999E-2</c:v>
                </c:pt>
                <c:pt idx="5">
                  <c:v>6.4933000000000005E-2</c:v>
                </c:pt>
                <c:pt idx="6">
                  <c:v>6.0574999999999997E-2</c:v>
                </c:pt>
                <c:pt idx="7">
                  <c:v>5.9395999999999997E-2</c:v>
                </c:pt>
                <c:pt idx="8">
                  <c:v>5.9387000000000002E-2</c:v>
                </c:pt>
                <c:pt idx="9">
                  <c:v>0.51450099999999999</c:v>
                </c:pt>
                <c:pt idx="10">
                  <c:v>0.51352799999999998</c:v>
                </c:pt>
                <c:pt idx="11">
                  <c:v>0.51352600000000004</c:v>
                </c:pt>
                <c:pt idx="12">
                  <c:v>0.17551600000000001</c:v>
                </c:pt>
                <c:pt idx="13">
                  <c:v>0.17467099999999999</c:v>
                </c:pt>
                <c:pt idx="14">
                  <c:v>0.17467099999999999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5-4728-AB49-343E99DECD8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L2_Cache_size - Default(2Mb)|1Mb|4Mb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Φύλλο1!$A$148:$A$162</c:f>
              <c:strCache>
                <c:ptCount val="15"/>
                <c:pt idx="0">
                  <c:v>L2_cache_size_1MB/401bzip</c:v>
                </c:pt>
                <c:pt idx="1">
                  <c:v>Default/401bzip</c:v>
                </c:pt>
                <c:pt idx="2">
                  <c:v>L2_cache_size_4MB/401bzip</c:v>
                </c:pt>
                <c:pt idx="3">
                  <c:v>L2_cache_size_1MB/429mcf</c:v>
                </c:pt>
                <c:pt idx="4">
                  <c:v>Default/429mcf</c:v>
                </c:pt>
                <c:pt idx="5">
                  <c:v>L2_cache_size_4MB/429mcf</c:v>
                </c:pt>
                <c:pt idx="6">
                  <c:v>L2_cache_size_1MB/456hmmer</c:v>
                </c:pt>
                <c:pt idx="7">
                  <c:v>Default/456hmmer</c:v>
                </c:pt>
                <c:pt idx="8">
                  <c:v>L2_cache_size_4MB/456hmmer</c:v>
                </c:pt>
                <c:pt idx="9">
                  <c:v>L2_cache_size_1MB/458sjeng</c:v>
                </c:pt>
                <c:pt idx="10">
                  <c:v>Default/458sjeng</c:v>
                </c:pt>
                <c:pt idx="11">
                  <c:v>L2_cache_size_4MB/458sjeng</c:v>
                </c:pt>
                <c:pt idx="12">
                  <c:v>L2_cache_size_1MB/470lbm</c:v>
                </c:pt>
                <c:pt idx="13">
                  <c:v>Default/470lbm</c:v>
                </c:pt>
                <c:pt idx="14">
                  <c:v>L2_cache_size_4MB/470lbm</c:v>
                </c:pt>
              </c:strCache>
            </c:strRef>
          </c:cat>
          <c:val>
            <c:numRef>
              <c:f>Φύλλο1!$B$148:$B$162</c:f>
              <c:numCache>
                <c:formatCode>0.0000</c:formatCode>
                <c:ptCount val="15"/>
                <c:pt idx="0">
                  <c:v>8.5526000000000005E-2</c:v>
                </c:pt>
                <c:pt idx="1">
                  <c:v>8.3982000000000001E-2</c:v>
                </c:pt>
                <c:pt idx="2">
                  <c:v>8.2692000000000002E-2</c:v>
                </c:pt>
                <c:pt idx="3">
                  <c:v>6.5186999999999995E-2</c:v>
                </c:pt>
                <c:pt idx="4">
                  <c:v>6.4954999999999999E-2</c:v>
                </c:pt>
                <c:pt idx="5">
                  <c:v>6.4925999999999998E-2</c:v>
                </c:pt>
                <c:pt idx="6">
                  <c:v>5.9395999999999997E-2</c:v>
                </c:pt>
                <c:pt idx="7">
                  <c:v>5.9395999999999997E-2</c:v>
                </c:pt>
                <c:pt idx="8">
                  <c:v>5.9395999999999997E-2</c:v>
                </c:pt>
                <c:pt idx="9">
                  <c:v>0.51366400000000001</c:v>
                </c:pt>
                <c:pt idx="10">
                  <c:v>0.51352799999999998</c:v>
                </c:pt>
                <c:pt idx="11">
                  <c:v>0.51327100000000003</c:v>
                </c:pt>
                <c:pt idx="12">
                  <c:v>0.17477200000000001</c:v>
                </c:pt>
                <c:pt idx="13">
                  <c:v>0.17467099999999999</c:v>
                </c:pt>
                <c:pt idx="14">
                  <c:v>0.174482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A-4F04-B1FE-C945EC7027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L2 Cache Assoc - Default(8)|4|2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Φύλλο1!$A$168:$A$182</c:f>
              <c:strCache>
                <c:ptCount val="15"/>
                <c:pt idx="0">
                  <c:v>Default/401bzip</c:v>
                </c:pt>
                <c:pt idx="1">
                  <c:v>L2_cache_assoc_4/401bzip</c:v>
                </c:pt>
                <c:pt idx="2">
                  <c:v>L2_cache_assoc_2/401bzip</c:v>
                </c:pt>
                <c:pt idx="3">
                  <c:v>Default/429mcf</c:v>
                </c:pt>
                <c:pt idx="4">
                  <c:v>L2_cache_assoc_4/429mcf</c:v>
                </c:pt>
                <c:pt idx="5">
                  <c:v>L2_cache_assoc_2/429mcf</c:v>
                </c:pt>
                <c:pt idx="6">
                  <c:v>Default/456hmmer</c:v>
                </c:pt>
                <c:pt idx="7">
                  <c:v>L2_cache_assoc_4/456hmmer</c:v>
                </c:pt>
                <c:pt idx="8">
                  <c:v>L2_cache_assoc_2/456hmmer</c:v>
                </c:pt>
                <c:pt idx="9">
                  <c:v>Default/458sjeng</c:v>
                </c:pt>
                <c:pt idx="10">
                  <c:v>L2_cache_assoc_4/458sjeng</c:v>
                </c:pt>
                <c:pt idx="11">
                  <c:v>L2_cache_assoc_2/458sjeng</c:v>
                </c:pt>
                <c:pt idx="12">
                  <c:v>Default/470lbm</c:v>
                </c:pt>
                <c:pt idx="13">
                  <c:v>L2_cache_assoc_4/470lbm</c:v>
                </c:pt>
                <c:pt idx="14">
                  <c:v>L2_cache_assoc_2/470lbm</c:v>
                </c:pt>
              </c:strCache>
            </c:strRef>
          </c:cat>
          <c:val>
            <c:numRef>
              <c:f>Φύλλο1!$B$168:$B$182</c:f>
              <c:numCache>
                <c:formatCode>0.0000</c:formatCode>
                <c:ptCount val="15"/>
                <c:pt idx="0">
                  <c:v>8.3982000000000001E-2</c:v>
                </c:pt>
                <c:pt idx="1">
                  <c:v>8.3942000000000003E-2</c:v>
                </c:pt>
                <c:pt idx="2">
                  <c:v>8.4405999999999995E-2</c:v>
                </c:pt>
                <c:pt idx="3">
                  <c:v>6.4954999999999999E-2</c:v>
                </c:pt>
                <c:pt idx="4">
                  <c:v>6.4951999999999996E-2</c:v>
                </c:pt>
                <c:pt idx="5">
                  <c:v>6.4960000000000004E-2</c:v>
                </c:pt>
                <c:pt idx="6">
                  <c:v>5.9395999999999997E-2</c:v>
                </c:pt>
                <c:pt idx="7">
                  <c:v>5.9395999999999997E-2</c:v>
                </c:pt>
                <c:pt idx="8">
                  <c:v>5.9395999999999997E-2</c:v>
                </c:pt>
                <c:pt idx="9">
                  <c:v>0.51352799999999998</c:v>
                </c:pt>
                <c:pt idx="10">
                  <c:v>0.51352600000000004</c:v>
                </c:pt>
                <c:pt idx="11">
                  <c:v>0.51350700000000005</c:v>
                </c:pt>
                <c:pt idx="12">
                  <c:v>0.17467099999999999</c:v>
                </c:pt>
                <c:pt idx="13">
                  <c:v>0.17467099999999999</c:v>
                </c:pt>
                <c:pt idx="14">
                  <c:v>0.17467099999999999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45-48BF-9253-3C38C6DEFD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Cacheline Size - Default(64)|32|128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Φύλλο1!$A$189:$A$203</c:f>
              <c:strCache>
                <c:ptCount val="15"/>
                <c:pt idx="0">
                  <c:v>Cacheline_size_32/401bzip</c:v>
                </c:pt>
                <c:pt idx="1">
                  <c:v>Default/401bzip</c:v>
                </c:pt>
                <c:pt idx="2">
                  <c:v>Cacheline_size_128/401bzip</c:v>
                </c:pt>
                <c:pt idx="3">
                  <c:v>Cacheline_size_32/429mcf</c:v>
                </c:pt>
                <c:pt idx="4">
                  <c:v>Default/429mcf</c:v>
                </c:pt>
                <c:pt idx="5">
                  <c:v>Cacheline_size_128/429mcf</c:v>
                </c:pt>
                <c:pt idx="6">
                  <c:v>Cacheline_size_32/456hmmer</c:v>
                </c:pt>
                <c:pt idx="7">
                  <c:v>Default/456hmmer</c:v>
                </c:pt>
                <c:pt idx="8">
                  <c:v>Cacheline_size_128/456hmmer</c:v>
                </c:pt>
                <c:pt idx="9">
                  <c:v>Cacheline_size_32/458sjeng</c:v>
                </c:pt>
                <c:pt idx="10">
                  <c:v>Default/458sjeng</c:v>
                </c:pt>
                <c:pt idx="11">
                  <c:v>Cacheline_size_128/458sjeng</c:v>
                </c:pt>
                <c:pt idx="12">
                  <c:v>Cacheline_size_32/470lbm</c:v>
                </c:pt>
                <c:pt idx="13">
                  <c:v>Default/470lbm</c:v>
                </c:pt>
                <c:pt idx="14">
                  <c:v>Cacheline_size_128/470lbm</c:v>
                </c:pt>
              </c:strCache>
            </c:strRef>
          </c:cat>
          <c:val>
            <c:numRef>
              <c:f>Φύλλο1!$B$189:$B$203</c:f>
              <c:numCache>
                <c:formatCode>0.0000</c:formatCode>
                <c:ptCount val="15"/>
                <c:pt idx="0">
                  <c:v>9.2629000000000003E-2</c:v>
                </c:pt>
                <c:pt idx="1">
                  <c:v>8.3982000000000001E-2</c:v>
                </c:pt>
                <c:pt idx="2">
                  <c:v>8.3329E-2</c:v>
                </c:pt>
                <c:pt idx="3">
                  <c:v>6.3004000000000004E-2</c:v>
                </c:pt>
                <c:pt idx="4">
                  <c:v>6.4954999999999999E-2</c:v>
                </c:pt>
                <c:pt idx="5">
                  <c:v>6.6527000000000003E-2</c:v>
                </c:pt>
                <c:pt idx="6">
                  <c:v>5.9841999999999999E-2</c:v>
                </c:pt>
                <c:pt idx="7">
                  <c:v>5.9395999999999997E-2</c:v>
                </c:pt>
                <c:pt idx="8">
                  <c:v>5.9098999999999999E-2</c:v>
                </c:pt>
                <c:pt idx="9">
                  <c:v>0.88268500000000005</c:v>
                </c:pt>
                <c:pt idx="10">
                  <c:v>0.51352799999999998</c:v>
                </c:pt>
                <c:pt idx="11">
                  <c:v>0.339974</c:v>
                </c:pt>
                <c:pt idx="12">
                  <c:v>0.280391</c:v>
                </c:pt>
                <c:pt idx="13">
                  <c:v>0.17467099999999999</c:v>
                </c:pt>
                <c:pt idx="14">
                  <c:v>0.12906500000000001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C-4EF3-ABE9-ED8B9A2BEA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Simulated Seconds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Opt1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Φύλλο1!$D$211:$D$220</c:f>
              <c:strCache>
                <c:ptCount val="10"/>
                <c:pt idx="0">
                  <c:v>Default/401bzip</c:v>
                </c:pt>
                <c:pt idx="1">
                  <c:v>opt1/401bzip</c:v>
                </c:pt>
                <c:pt idx="2">
                  <c:v>Default/429mcf</c:v>
                </c:pt>
                <c:pt idx="3">
                  <c:v>opt1/429mcf</c:v>
                </c:pt>
                <c:pt idx="4">
                  <c:v>Default/456hmmer</c:v>
                </c:pt>
                <c:pt idx="5">
                  <c:v>opt1/456hmmer</c:v>
                </c:pt>
                <c:pt idx="6">
                  <c:v>Default/458sjeng</c:v>
                </c:pt>
                <c:pt idx="7">
                  <c:v>opt1/458sjeng</c:v>
                </c:pt>
                <c:pt idx="8">
                  <c:v>Default/470lbm</c:v>
                </c:pt>
                <c:pt idx="9">
                  <c:v>opt1/470lbm</c:v>
                </c:pt>
              </c:strCache>
            </c:strRef>
          </c:cat>
          <c:val>
            <c:numRef>
              <c:f>Φύλλο1!$F$211:$F$220</c:f>
              <c:numCache>
                <c:formatCode>0.0000</c:formatCode>
                <c:ptCount val="10"/>
                <c:pt idx="0">
                  <c:v>1.6796500000000001</c:v>
                </c:pt>
                <c:pt idx="1">
                  <c:v>1.9048130000000001</c:v>
                </c:pt>
                <c:pt idx="2">
                  <c:v>1.2990950000000001</c:v>
                </c:pt>
                <c:pt idx="3">
                  <c:v>1.3330630000000001</c:v>
                </c:pt>
                <c:pt idx="4">
                  <c:v>1.1879169999999999</c:v>
                </c:pt>
                <c:pt idx="5">
                  <c:v>1.194062</c:v>
                </c:pt>
                <c:pt idx="6">
                  <c:v>10.270554000000001</c:v>
                </c:pt>
                <c:pt idx="7">
                  <c:v>13.511922999999999</c:v>
                </c:pt>
                <c:pt idx="8">
                  <c:v>3.4934150000000002</c:v>
                </c:pt>
                <c:pt idx="9">
                  <c:v>4.4026040000000002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9-431D-97C2-FAA8B68C9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CPI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Opt2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Φύλλο1!$D$231:$D$240</c:f>
              <c:strCache>
                <c:ptCount val="10"/>
                <c:pt idx="0">
                  <c:v>Default/401bzip</c:v>
                </c:pt>
                <c:pt idx="1">
                  <c:v>opt2/401bzip</c:v>
                </c:pt>
                <c:pt idx="2">
                  <c:v>Default/429mcf</c:v>
                </c:pt>
                <c:pt idx="3">
                  <c:v>opt2/429mcf</c:v>
                </c:pt>
                <c:pt idx="4">
                  <c:v>Default/456hmmer</c:v>
                </c:pt>
                <c:pt idx="5">
                  <c:v>opt2/456hmmer</c:v>
                </c:pt>
                <c:pt idx="6">
                  <c:v>Default/458sjeng</c:v>
                </c:pt>
                <c:pt idx="7">
                  <c:v>opt2/458sjeng</c:v>
                </c:pt>
                <c:pt idx="8">
                  <c:v>Default/470lbm</c:v>
                </c:pt>
                <c:pt idx="9">
                  <c:v>opt2/470lbm</c:v>
                </c:pt>
              </c:strCache>
            </c:strRef>
          </c:cat>
          <c:val>
            <c:numRef>
              <c:f>Φύλλο1!$F$231:$F$240</c:f>
              <c:numCache>
                <c:formatCode>0.0000</c:formatCode>
                <c:ptCount val="10"/>
                <c:pt idx="0">
                  <c:v>1.6796500000000001</c:v>
                </c:pt>
                <c:pt idx="1">
                  <c:v>1.7148509999999999</c:v>
                </c:pt>
                <c:pt idx="2">
                  <c:v>1.2990950000000001</c:v>
                </c:pt>
                <c:pt idx="3">
                  <c:v>1.1362239999999999</c:v>
                </c:pt>
                <c:pt idx="4">
                  <c:v>1.1879169999999999</c:v>
                </c:pt>
                <c:pt idx="5">
                  <c:v>1.1827859999999999</c:v>
                </c:pt>
                <c:pt idx="6">
                  <c:v>10.270554000000001</c:v>
                </c:pt>
                <c:pt idx="7">
                  <c:v>8.8141440000000006</c:v>
                </c:pt>
                <c:pt idx="8">
                  <c:v>3.4934150000000002</c:v>
                </c:pt>
                <c:pt idx="9">
                  <c:v>3.0534620000000001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D3-4868-B995-0D8B6A35AA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CPI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Opt3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Φύλλο1!$D$251:$D$260</c:f>
              <c:strCache>
                <c:ptCount val="10"/>
                <c:pt idx="0">
                  <c:v>Default/401bzip</c:v>
                </c:pt>
                <c:pt idx="1">
                  <c:v>opt3/401bzip</c:v>
                </c:pt>
                <c:pt idx="2">
                  <c:v>Default/429mcf</c:v>
                </c:pt>
                <c:pt idx="3">
                  <c:v>opt3/429mcf</c:v>
                </c:pt>
                <c:pt idx="4">
                  <c:v>Default/456hmmer</c:v>
                </c:pt>
                <c:pt idx="5">
                  <c:v>opt3/456hmmer</c:v>
                </c:pt>
                <c:pt idx="6">
                  <c:v>Default/458sjeng</c:v>
                </c:pt>
                <c:pt idx="7">
                  <c:v>opt3/458sjeng</c:v>
                </c:pt>
                <c:pt idx="8">
                  <c:v>Default/470lbm</c:v>
                </c:pt>
                <c:pt idx="9">
                  <c:v>opt3/470lbm</c:v>
                </c:pt>
              </c:strCache>
            </c:strRef>
          </c:cat>
          <c:val>
            <c:numRef>
              <c:f>Φύλλο1!$F$251:$F$260</c:f>
              <c:numCache>
                <c:formatCode>0.0000</c:formatCode>
                <c:ptCount val="10"/>
                <c:pt idx="0">
                  <c:v>1.6796500000000001</c:v>
                </c:pt>
                <c:pt idx="1">
                  <c:v>1.688472</c:v>
                </c:pt>
                <c:pt idx="2">
                  <c:v>1.2990950000000001</c:v>
                </c:pt>
                <c:pt idx="3">
                  <c:v>1.1357139999999999</c:v>
                </c:pt>
                <c:pt idx="4">
                  <c:v>1.1879169999999999</c:v>
                </c:pt>
                <c:pt idx="5">
                  <c:v>1.182985</c:v>
                </c:pt>
                <c:pt idx="6">
                  <c:v>10.270554000000001</c:v>
                </c:pt>
                <c:pt idx="7">
                  <c:v>8.798667</c:v>
                </c:pt>
                <c:pt idx="8">
                  <c:v>3.4934150000000002</c:v>
                </c:pt>
                <c:pt idx="9">
                  <c:v>3.0481479999999999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75-49CF-B643-6AF67706FB9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CPI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Opt4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Φύλλο1!$D$268:$D$277</c:f>
              <c:strCache>
                <c:ptCount val="10"/>
                <c:pt idx="0">
                  <c:v>Default/401bzip</c:v>
                </c:pt>
                <c:pt idx="1">
                  <c:v>opt4/401bzip</c:v>
                </c:pt>
                <c:pt idx="2">
                  <c:v>Default/429mcf</c:v>
                </c:pt>
                <c:pt idx="3">
                  <c:v>opt4/429mcf</c:v>
                </c:pt>
                <c:pt idx="4">
                  <c:v>Default/456hmmer</c:v>
                </c:pt>
                <c:pt idx="5">
                  <c:v>opt4/456hmmer</c:v>
                </c:pt>
                <c:pt idx="6">
                  <c:v>Default/458sjeng</c:v>
                </c:pt>
                <c:pt idx="7">
                  <c:v>opt4/458sjeng</c:v>
                </c:pt>
                <c:pt idx="8">
                  <c:v>Default/470lbm</c:v>
                </c:pt>
                <c:pt idx="9">
                  <c:v>opt4/470lbm</c:v>
                </c:pt>
              </c:strCache>
            </c:strRef>
          </c:cat>
          <c:val>
            <c:numRef>
              <c:f>Φύλλο1!$F$268:$F$277</c:f>
              <c:numCache>
                <c:formatCode>0.0000</c:formatCode>
                <c:ptCount val="10"/>
                <c:pt idx="0">
                  <c:v>1.6796500000000001</c:v>
                </c:pt>
                <c:pt idx="1">
                  <c:v>1.690542</c:v>
                </c:pt>
                <c:pt idx="2">
                  <c:v>1.2990950000000001</c:v>
                </c:pt>
                <c:pt idx="3">
                  <c:v>1.135899</c:v>
                </c:pt>
                <c:pt idx="4">
                  <c:v>1.1879169999999999</c:v>
                </c:pt>
                <c:pt idx="5">
                  <c:v>1.18137</c:v>
                </c:pt>
                <c:pt idx="6">
                  <c:v>10.270554000000001</c:v>
                </c:pt>
                <c:pt idx="7">
                  <c:v>8.8126090000000001</c:v>
                </c:pt>
                <c:pt idx="8">
                  <c:v>3.4934150000000002</c:v>
                </c:pt>
                <c:pt idx="9">
                  <c:v>3.0534409999999998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3-4903-859B-FEE4DA61D6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CPI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latin typeface="Cambria" panose="02040503050406030204" pitchFamily="18" charset="0"/>
                <a:ea typeface="Cambria" panose="02040503050406030204" pitchFamily="18" charset="0"/>
                <a:cs typeface="Times New Roman" panose="02020603050405020304" pitchFamily="18" charset="0"/>
              </a:rPr>
              <a:t>Opt5</a:t>
            </a:r>
            <a:endParaRPr lang="el-GR">
              <a:latin typeface="Cambria" panose="02040503050406030204" pitchFamily="18" charset="0"/>
              <a:ea typeface="Cambria" panose="020405030504060302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01027131859184"/>
          <c:y val="0.13119642390251873"/>
          <c:w val="0.83492802340386751"/>
          <c:h val="0.5281700032222617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Φύλλο1!$D$283:$D$292</c:f>
              <c:strCache>
                <c:ptCount val="10"/>
                <c:pt idx="0">
                  <c:v>Default/401bzip</c:v>
                </c:pt>
                <c:pt idx="1">
                  <c:v>opt5/401bzip</c:v>
                </c:pt>
                <c:pt idx="2">
                  <c:v>Default/429mcf</c:v>
                </c:pt>
                <c:pt idx="3">
                  <c:v>opt5/429mcf</c:v>
                </c:pt>
                <c:pt idx="4">
                  <c:v>Default/456hmmer</c:v>
                </c:pt>
                <c:pt idx="5">
                  <c:v>opt5/456hmmer</c:v>
                </c:pt>
                <c:pt idx="6">
                  <c:v>Default/458sjeng</c:v>
                </c:pt>
                <c:pt idx="7">
                  <c:v>opt5/458sjeng</c:v>
                </c:pt>
                <c:pt idx="8">
                  <c:v>Default/470lbm</c:v>
                </c:pt>
                <c:pt idx="9">
                  <c:v>opt5/470lbm</c:v>
                </c:pt>
              </c:strCache>
            </c:strRef>
          </c:cat>
          <c:val>
            <c:numRef>
              <c:f>Φύλλο1!$F$283:$F$292</c:f>
              <c:numCache>
                <c:formatCode>0.0000</c:formatCode>
                <c:ptCount val="10"/>
                <c:pt idx="0">
                  <c:v>1.6796500000000001</c:v>
                </c:pt>
                <c:pt idx="1">
                  <c:v>1.6533420000000001</c:v>
                </c:pt>
                <c:pt idx="2">
                  <c:v>1.2990950000000001</c:v>
                </c:pt>
                <c:pt idx="3">
                  <c:v>1.135256</c:v>
                </c:pt>
                <c:pt idx="4">
                  <c:v>1.1879169999999999</c:v>
                </c:pt>
                <c:pt idx="5">
                  <c:v>1.18106</c:v>
                </c:pt>
                <c:pt idx="6">
                  <c:v>10.270554000000001</c:v>
                </c:pt>
                <c:pt idx="7">
                  <c:v>8.8137899999999991</c:v>
                </c:pt>
                <c:pt idx="8">
                  <c:v>3.4934150000000002</c:v>
                </c:pt>
                <c:pt idx="9">
                  <c:v>3.0481479999999999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0-47B0-A01F-6954506A8B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12110943"/>
        <c:axId val="1012109023"/>
      </c:barChart>
      <c:catAx>
        <c:axId val="1012110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09023"/>
        <c:crosses val="autoZero"/>
        <c:auto val="1"/>
        <c:lblAlgn val="ctr"/>
        <c:lblOffset val="100"/>
        <c:noMultiLvlLbl val="0"/>
      </c:catAx>
      <c:valAx>
        <c:axId val="1012109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CPI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211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45554</xdr:colOff>
      <xdr:row>0</xdr:row>
      <xdr:rowOff>119270</xdr:rowOff>
    </xdr:from>
    <xdr:to>
      <xdr:col>22</xdr:col>
      <xdr:colOff>327163</xdr:colOff>
      <xdr:row>15</xdr:row>
      <xdr:rowOff>4970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83D505C3-25A9-7BF4-37B2-9B98EB035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107674</xdr:colOff>
      <xdr:row>0</xdr:row>
      <xdr:rowOff>124238</xdr:rowOff>
    </xdr:from>
    <xdr:to>
      <xdr:col>14</xdr:col>
      <xdr:colOff>389283</xdr:colOff>
      <xdr:row>15</xdr:row>
      <xdr:rowOff>9938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8D364370-84E4-461C-8D86-C552BAEDFF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8283</xdr:colOff>
      <xdr:row>0</xdr:row>
      <xdr:rowOff>132521</xdr:rowOff>
    </xdr:from>
    <xdr:to>
      <xdr:col>30</xdr:col>
      <xdr:colOff>289891</xdr:colOff>
      <xdr:row>15</xdr:row>
      <xdr:rowOff>18221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89F2980A-0009-4DE5-9AAF-9BB5D9ED16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554934</xdr:colOff>
      <xdr:row>0</xdr:row>
      <xdr:rowOff>132522</xdr:rowOff>
    </xdr:from>
    <xdr:to>
      <xdr:col>38</xdr:col>
      <xdr:colOff>223630</xdr:colOff>
      <xdr:row>15</xdr:row>
      <xdr:rowOff>18222</xdr:rowOff>
    </xdr:to>
    <xdr:graphicFrame macro="">
      <xdr:nvGraphicFramePr>
        <xdr:cNvPr id="9" name="Γράφημα 8">
          <a:extLst>
            <a:ext uri="{FF2B5EF4-FFF2-40B4-BE49-F238E27FC236}">
              <a16:creationId xmlns:a16="http://schemas.microsoft.com/office/drawing/2014/main" id="{C333A8E4-7FAB-42DB-AF82-210573182A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389284</xdr:colOff>
      <xdr:row>0</xdr:row>
      <xdr:rowOff>149086</xdr:rowOff>
    </xdr:from>
    <xdr:to>
      <xdr:col>46</xdr:col>
      <xdr:colOff>57980</xdr:colOff>
      <xdr:row>15</xdr:row>
      <xdr:rowOff>34786</xdr:rowOff>
    </xdr:to>
    <xdr:graphicFrame macro="">
      <xdr:nvGraphicFramePr>
        <xdr:cNvPr id="10" name="Γράφημα 9">
          <a:extLst>
            <a:ext uri="{FF2B5EF4-FFF2-40B4-BE49-F238E27FC236}">
              <a16:creationId xmlns:a16="http://schemas.microsoft.com/office/drawing/2014/main" id="{DD751C43-6712-47A2-8244-97122B7D93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560295</xdr:colOff>
      <xdr:row>15</xdr:row>
      <xdr:rowOff>61874</xdr:rowOff>
    </xdr:from>
    <xdr:to>
      <xdr:col>17</xdr:col>
      <xdr:colOff>85750</xdr:colOff>
      <xdr:row>35</xdr:row>
      <xdr:rowOff>3897</xdr:rowOff>
    </xdr:to>
    <xdr:graphicFrame macro="">
      <xdr:nvGraphicFramePr>
        <xdr:cNvPr id="17" name="Γράφημα 16">
          <a:extLst>
            <a:ext uri="{FF2B5EF4-FFF2-40B4-BE49-F238E27FC236}">
              <a16:creationId xmlns:a16="http://schemas.microsoft.com/office/drawing/2014/main" id="{1EEE6C6D-A5F9-4594-8B20-EDC2883B50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549088</xdr:colOff>
      <xdr:row>36</xdr:row>
      <xdr:rowOff>168088</xdr:rowOff>
    </xdr:from>
    <xdr:to>
      <xdr:col>16</xdr:col>
      <xdr:colOff>598783</xdr:colOff>
      <xdr:row>56</xdr:row>
      <xdr:rowOff>110111</xdr:rowOff>
    </xdr:to>
    <xdr:graphicFrame macro="">
      <xdr:nvGraphicFramePr>
        <xdr:cNvPr id="18" name="Γράφημα 17">
          <a:extLst>
            <a:ext uri="{FF2B5EF4-FFF2-40B4-BE49-F238E27FC236}">
              <a16:creationId xmlns:a16="http://schemas.microsoft.com/office/drawing/2014/main" id="{93BDE002-A760-43BC-BB15-5EE56A147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560294</xdr:colOff>
      <xdr:row>57</xdr:row>
      <xdr:rowOff>100853</xdr:rowOff>
    </xdr:from>
    <xdr:to>
      <xdr:col>17</xdr:col>
      <xdr:colOff>4872</xdr:colOff>
      <xdr:row>77</xdr:row>
      <xdr:rowOff>42876</xdr:rowOff>
    </xdr:to>
    <xdr:graphicFrame macro="">
      <xdr:nvGraphicFramePr>
        <xdr:cNvPr id="20" name="Γράφημα 19">
          <a:extLst>
            <a:ext uri="{FF2B5EF4-FFF2-40B4-BE49-F238E27FC236}">
              <a16:creationId xmlns:a16="http://schemas.microsoft.com/office/drawing/2014/main" id="{EACAF9E8-85C4-4E4E-A527-9658F9B0AA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493059</xdr:colOff>
      <xdr:row>78</xdr:row>
      <xdr:rowOff>134470</xdr:rowOff>
    </xdr:from>
    <xdr:to>
      <xdr:col>16</xdr:col>
      <xdr:colOff>542754</xdr:colOff>
      <xdr:row>98</xdr:row>
      <xdr:rowOff>76493</xdr:rowOff>
    </xdr:to>
    <xdr:graphicFrame macro="">
      <xdr:nvGraphicFramePr>
        <xdr:cNvPr id="21" name="Γράφημα 20">
          <a:extLst>
            <a:ext uri="{FF2B5EF4-FFF2-40B4-BE49-F238E27FC236}">
              <a16:creationId xmlns:a16="http://schemas.microsoft.com/office/drawing/2014/main" id="{627745F0-3C1E-40A2-AF06-F3267473A6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33618</xdr:colOff>
      <xdr:row>101</xdr:row>
      <xdr:rowOff>11206</xdr:rowOff>
    </xdr:from>
    <xdr:to>
      <xdr:col>17</xdr:col>
      <xdr:colOff>83314</xdr:colOff>
      <xdr:row>120</xdr:row>
      <xdr:rowOff>143729</xdr:rowOff>
    </xdr:to>
    <xdr:graphicFrame macro="">
      <xdr:nvGraphicFramePr>
        <xdr:cNvPr id="22" name="Γράφημα 21">
          <a:extLst>
            <a:ext uri="{FF2B5EF4-FFF2-40B4-BE49-F238E27FC236}">
              <a16:creationId xmlns:a16="http://schemas.microsoft.com/office/drawing/2014/main" id="{35F8DE49-1120-487E-99E7-309951FA76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425823</xdr:colOff>
      <xdr:row>122</xdr:row>
      <xdr:rowOff>168089</xdr:rowOff>
    </xdr:from>
    <xdr:to>
      <xdr:col>17</xdr:col>
      <xdr:colOff>475519</xdr:colOff>
      <xdr:row>142</xdr:row>
      <xdr:rowOff>110112</xdr:rowOff>
    </xdr:to>
    <xdr:graphicFrame macro="">
      <xdr:nvGraphicFramePr>
        <xdr:cNvPr id="23" name="Γράφημα 22">
          <a:extLst>
            <a:ext uri="{FF2B5EF4-FFF2-40B4-BE49-F238E27FC236}">
              <a16:creationId xmlns:a16="http://schemas.microsoft.com/office/drawing/2014/main" id="{C999F730-39B3-4FBC-A280-24D47B5B6C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437028</xdr:colOff>
      <xdr:row>145</xdr:row>
      <xdr:rowOff>112058</xdr:rowOff>
    </xdr:from>
    <xdr:to>
      <xdr:col>17</xdr:col>
      <xdr:colOff>486724</xdr:colOff>
      <xdr:row>165</xdr:row>
      <xdr:rowOff>54081</xdr:rowOff>
    </xdr:to>
    <xdr:graphicFrame macro="">
      <xdr:nvGraphicFramePr>
        <xdr:cNvPr id="24" name="Γράφημα 23">
          <a:extLst>
            <a:ext uri="{FF2B5EF4-FFF2-40B4-BE49-F238E27FC236}">
              <a16:creationId xmlns:a16="http://schemas.microsoft.com/office/drawing/2014/main" id="{4A80EE81-2293-4928-B7A2-F3804969F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358588</xdr:colOff>
      <xdr:row>166</xdr:row>
      <xdr:rowOff>67235</xdr:rowOff>
    </xdr:from>
    <xdr:to>
      <xdr:col>17</xdr:col>
      <xdr:colOff>408284</xdr:colOff>
      <xdr:row>186</xdr:row>
      <xdr:rowOff>9258</xdr:rowOff>
    </xdr:to>
    <xdr:graphicFrame macro="">
      <xdr:nvGraphicFramePr>
        <xdr:cNvPr id="25" name="Γράφημα 24">
          <a:extLst>
            <a:ext uri="{FF2B5EF4-FFF2-40B4-BE49-F238E27FC236}">
              <a16:creationId xmlns:a16="http://schemas.microsoft.com/office/drawing/2014/main" id="{8A32F9DE-4B40-4F00-A17C-0757F47B5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268941</xdr:colOff>
      <xdr:row>187</xdr:row>
      <xdr:rowOff>0</xdr:rowOff>
    </xdr:from>
    <xdr:to>
      <xdr:col>17</xdr:col>
      <xdr:colOff>318637</xdr:colOff>
      <xdr:row>206</xdr:row>
      <xdr:rowOff>132523</xdr:rowOff>
    </xdr:to>
    <xdr:graphicFrame macro="">
      <xdr:nvGraphicFramePr>
        <xdr:cNvPr id="26" name="Γράφημα 25">
          <a:extLst>
            <a:ext uri="{FF2B5EF4-FFF2-40B4-BE49-F238E27FC236}">
              <a16:creationId xmlns:a16="http://schemas.microsoft.com/office/drawing/2014/main" id="{36723B91-C779-4AD0-B016-8454FBB5A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336176</xdr:colOff>
      <xdr:row>206</xdr:row>
      <xdr:rowOff>179294</xdr:rowOff>
    </xdr:from>
    <xdr:to>
      <xdr:col>24</xdr:col>
      <xdr:colOff>385870</xdr:colOff>
      <xdr:row>226</xdr:row>
      <xdr:rowOff>121317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7CADC756-2454-48C0-9FC9-097AFB7D3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291353</xdr:colOff>
      <xdr:row>228</xdr:row>
      <xdr:rowOff>112059</xdr:rowOff>
    </xdr:from>
    <xdr:to>
      <xdr:col>24</xdr:col>
      <xdr:colOff>341048</xdr:colOff>
      <xdr:row>248</xdr:row>
      <xdr:rowOff>54082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B2E79D0A-E31A-4A51-9363-B350A758E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313764</xdr:colOff>
      <xdr:row>249</xdr:row>
      <xdr:rowOff>56029</xdr:rowOff>
    </xdr:from>
    <xdr:to>
      <xdr:col>24</xdr:col>
      <xdr:colOff>363459</xdr:colOff>
      <xdr:row>262</xdr:row>
      <xdr:rowOff>188552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66B1BD18-BA9B-4360-B7B1-20EC46A2F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302559</xdr:colOff>
      <xdr:row>265</xdr:row>
      <xdr:rowOff>100853</xdr:rowOff>
    </xdr:from>
    <xdr:to>
      <xdr:col>24</xdr:col>
      <xdr:colOff>190500</xdr:colOff>
      <xdr:row>280</xdr:row>
      <xdr:rowOff>86591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2A5C2799-C270-416A-B9AE-618FF586E7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14</xdr:col>
      <xdr:colOff>162994</xdr:colOff>
      <xdr:row>282</xdr:row>
      <xdr:rowOff>26484</xdr:rowOff>
    </xdr:from>
    <xdr:to>
      <xdr:col>24</xdr:col>
      <xdr:colOff>398318</xdr:colOff>
      <xdr:row>300</xdr:row>
      <xdr:rowOff>103907</xdr:rowOff>
    </xdr:to>
    <xdr:graphicFrame macro="">
      <xdr:nvGraphicFramePr>
        <xdr:cNvPr id="11" name="Γράφημα 10">
          <a:extLst>
            <a:ext uri="{FF2B5EF4-FFF2-40B4-BE49-F238E27FC236}">
              <a16:creationId xmlns:a16="http://schemas.microsoft.com/office/drawing/2014/main" id="{78C12A1F-371D-4D6F-974B-E9EFA04E21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9FAB-CC2A-4BB3-B732-D56934112565}">
  <dimension ref="A1:N446"/>
  <sheetViews>
    <sheetView tabSelected="1" zoomScale="55" zoomScaleNormal="55" workbookViewId="0">
      <selection activeCell="F29" sqref="F29"/>
    </sheetView>
  </sheetViews>
  <sheetFormatPr defaultRowHeight="15" x14ac:dyDescent="0.25"/>
  <cols>
    <col min="1" max="1" width="29.7109375" bestFit="1" customWidth="1"/>
    <col min="2" max="2" width="29.7109375" style="3" bestFit="1" customWidth="1"/>
    <col min="3" max="3" width="19.42578125" customWidth="1"/>
    <col min="4" max="4" width="19.42578125" bestFit="1" customWidth="1"/>
    <col min="5" max="5" width="33.42578125" bestFit="1" customWidth="1"/>
    <col min="6" max="6" width="26.140625" bestFit="1" customWidth="1"/>
    <col min="7" max="7" width="40.140625" bestFit="1" customWidth="1"/>
    <col min="8" max="8" width="39.5703125" bestFit="1" customWidth="1"/>
    <col min="9" max="9" width="31.140625" bestFit="1" customWidth="1"/>
    <col min="10" max="10" width="12.7109375" bestFit="1" customWidth="1"/>
    <col min="13" max="13" width="12.28515625" bestFit="1" customWidth="1"/>
    <col min="14" max="14" width="18.28515625" bestFit="1" customWidth="1"/>
  </cols>
  <sheetData>
    <row r="1" spans="1:6" x14ac:dyDescent="0.25">
      <c r="A1" s="5" t="s">
        <v>0</v>
      </c>
      <c r="B1" s="5"/>
      <c r="C1" s="5"/>
      <c r="D1" s="5"/>
      <c r="E1" s="5"/>
    </row>
    <row r="2" spans="1:6" x14ac:dyDescent="0.25">
      <c r="B2" s="3" t="s">
        <v>15</v>
      </c>
      <c r="C2" t="s">
        <v>14</v>
      </c>
      <c r="D2" t="s">
        <v>11</v>
      </c>
      <c r="E2" t="s">
        <v>12</v>
      </c>
      <c r="F2" t="s">
        <v>13</v>
      </c>
    </row>
    <row r="3" spans="1:6" x14ac:dyDescent="0.25">
      <c r="A3" t="s">
        <v>16</v>
      </c>
      <c r="B3" s="3">
        <v>8.3982000000000001E-2</v>
      </c>
      <c r="C3">
        <v>1.6796500000000001</v>
      </c>
      <c r="D3">
        <v>1.4798E-2</v>
      </c>
      <c r="E3">
        <v>7.7000000000000001E-5</v>
      </c>
      <c r="F3">
        <v>0.282163</v>
      </c>
    </row>
    <row r="4" spans="1:6" x14ac:dyDescent="0.25">
      <c r="A4" t="s">
        <v>17</v>
      </c>
      <c r="B4" s="3">
        <v>6.4954999999999999E-2</v>
      </c>
      <c r="C4">
        <v>1.2990950000000001</v>
      </c>
      <c r="D4">
        <v>2.1080000000000001E-3</v>
      </c>
      <c r="E4">
        <v>2.3612000000000001E-2</v>
      </c>
      <c r="F4">
        <v>5.5045999999999998E-2</v>
      </c>
    </row>
    <row r="5" spans="1:6" x14ac:dyDescent="0.25">
      <c r="A5" t="s">
        <v>18</v>
      </c>
      <c r="B5" s="3">
        <v>5.9395999999999997E-2</v>
      </c>
      <c r="C5">
        <v>1.1879169999999999</v>
      </c>
      <c r="D5">
        <v>1.637E-3</v>
      </c>
      <c r="E5">
        <v>2.2100000000000001E-4</v>
      </c>
      <c r="F5">
        <v>7.7759999999999996E-2</v>
      </c>
    </row>
    <row r="6" spans="1:6" x14ac:dyDescent="0.25">
      <c r="A6" t="s">
        <v>19</v>
      </c>
      <c r="B6" s="3">
        <v>0.51352799999999998</v>
      </c>
      <c r="C6">
        <v>10.270554000000001</v>
      </c>
      <c r="D6">
        <v>0.12183099999999999</v>
      </c>
      <c r="E6">
        <v>2.0000000000000002E-5</v>
      </c>
      <c r="F6">
        <v>0.99997199999999997</v>
      </c>
    </row>
    <row r="7" spans="1:6" x14ac:dyDescent="0.25">
      <c r="A7" t="s">
        <v>20</v>
      </c>
      <c r="B7" s="3">
        <v>0.17467099999999999</v>
      </c>
      <c r="C7">
        <v>3.4934150000000002</v>
      </c>
      <c r="D7">
        <v>6.0971999999999998E-2</v>
      </c>
      <c r="E7">
        <v>9.3999999999999994E-5</v>
      </c>
      <c r="F7">
        <v>0.99994400000000006</v>
      </c>
    </row>
    <row r="16" spans="1:6" x14ac:dyDescent="0.25">
      <c r="A16" s="5" t="s">
        <v>37</v>
      </c>
      <c r="B16" s="5"/>
      <c r="C16" s="5"/>
      <c r="D16" s="5"/>
      <c r="E16" s="5"/>
      <c r="F16" s="5"/>
    </row>
    <row r="17" spans="1:6" x14ac:dyDescent="0.25">
      <c r="A17" s="1" t="s">
        <v>21</v>
      </c>
      <c r="B17" s="2" t="s">
        <v>1</v>
      </c>
      <c r="C17" t="s">
        <v>2</v>
      </c>
      <c r="D17" t="s">
        <v>3</v>
      </c>
      <c r="E17" t="s">
        <v>4</v>
      </c>
      <c r="F17" t="s">
        <v>5</v>
      </c>
    </row>
    <row r="18" spans="1:6" x14ac:dyDescent="0.25">
      <c r="A18" s="1" t="s">
        <v>6</v>
      </c>
      <c r="B18" s="2">
        <v>8.3982000000000001E-2</v>
      </c>
      <c r="C18">
        <v>1.6796500000000001</v>
      </c>
      <c r="D18">
        <v>1.4798E-2</v>
      </c>
      <c r="E18">
        <v>7.7000000000000001E-5</v>
      </c>
      <c r="F18">
        <v>0.282163</v>
      </c>
    </row>
    <row r="19" spans="1:6" x14ac:dyDescent="0.25">
      <c r="A19" s="1" t="s">
        <v>22</v>
      </c>
      <c r="B19" s="2">
        <v>0.161025</v>
      </c>
      <c r="C19">
        <v>1.610247</v>
      </c>
      <c r="D19">
        <v>1.4675000000000001E-2</v>
      </c>
      <c r="E19">
        <v>7.7000000000000001E-5</v>
      </c>
      <c r="F19">
        <v>0.28215699999999999</v>
      </c>
    </row>
    <row r="20" spans="1:6" x14ac:dyDescent="0.25">
      <c r="A20" s="1" t="s">
        <v>27</v>
      </c>
      <c r="B20" s="2">
        <v>5.8384999999999999E-2</v>
      </c>
      <c r="C20">
        <v>1.7532909999999999</v>
      </c>
      <c r="D20">
        <v>1.4932000000000001E-2</v>
      </c>
      <c r="E20">
        <v>7.7000000000000001E-5</v>
      </c>
      <c r="F20">
        <v>0.28216599999999997</v>
      </c>
    </row>
    <row r="21" spans="1:6" x14ac:dyDescent="0.25">
      <c r="A21" s="1" t="s">
        <v>7</v>
      </c>
      <c r="B21" s="2">
        <v>6.4954999999999999E-2</v>
      </c>
      <c r="C21">
        <v>1.2990950000000001</v>
      </c>
      <c r="D21">
        <v>2.1080000000000001E-3</v>
      </c>
      <c r="E21">
        <v>2.3612000000000001E-2</v>
      </c>
      <c r="F21">
        <v>5.5045999999999998E-2</v>
      </c>
    </row>
    <row r="22" spans="1:6" x14ac:dyDescent="0.25">
      <c r="A22" s="1" t="s">
        <v>23</v>
      </c>
      <c r="B22" s="2">
        <v>0.127942</v>
      </c>
      <c r="C22">
        <v>1.2794220000000001</v>
      </c>
      <c r="D22">
        <v>2.1080000000000001E-3</v>
      </c>
      <c r="E22">
        <v>2.3626999999999999E-2</v>
      </c>
      <c r="F22">
        <v>5.5045999999999998E-2</v>
      </c>
    </row>
    <row r="23" spans="1:6" x14ac:dyDescent="0.25">
      <c r="A23" s="1" t="s">
        <v>28</v>
      </c>
      <c r="B23" s="2">
        <v>4.3867000000000003E-2</v>
      </c>
      <c r="C23">
        <v>1.317329</v>
      </c>
      <c r="D23">
        <v>2.1080000000000001E-3</v>
      </c>
      <c r="E23">
        <v>2.3609000000000002E-2</v>
      </c>
      <c r="F23">
        <v>5.5045999999999998E-2</v>
      </c>
    </row>
    <row r="24" spans="1:6" x14ac:dyDescent="0.25">
      <c r="A24" s="1" t="s">
        <v>8</v>
      </c>
      <c r="B24" s="2">
        <v>5.9395999999999997E-2</v>
      </c>
      <c r="C24">
        <v>1.1879169999999999</v>
      </c>
      <c r="D24">
        <v>1.637E-3</v>
      </c>
      <c r="E24">
        <v>2.2100000000000001E-4</v>
      </c>
      <c r="F24">
        <v>7.7759999999999996E-2</v>
      </c>
    </row>
    <row r="25" spans="1:6" x14ac:dyDescent="0.25">
      <c r="A25" s="1" t="s">
        <v>24</v>
      </c>
      <c r="B25" s="2">
        <v>0.11853</v>
      </c>
      <c r="C25">
        <v>1.1853039999999999</v>
      </c>
      <c r="D25">
        <v>1.629E-3</v>
      </c>
      <c r="E25">
        <v>2.2100000000000001E-4</v>
      </c>
      <c r="F25">
        <v>7.7746999999999997E-2</v>
      </c>
    </row>
    <row r="26" spans="1:6" x14ac:dyDescent="0.25">
      <c r="A26" s="1" t="s">
        <v>29</v>
      </c>
      <c r="B26" s="2">
        <v>3.9646000000000001E-2</v>
      </c>
      <c r="C26">
        <v>1.1905809999999999</v>
      </c>
      <c r="D26">
        <v>1.637E-3</v>
      </c>
      <c r="E26">
        <v>2.2100000000000001E-4</v>
      </c>
      <c r="F26">
        <v>7.7760999999999997E-2</v>
      </c>
    </row>
    <row r="27" spans="1:6" x14ac:dyDescent="0.25">
      <c r="A27" s="1" t="s">
        <v>9</v>
      </c>
      <c r="B27" s="2">
        <v>0.51352799999999998</v>
      </c>
      <c r="C27">
        <v>10.270554000000001</v>
      </c>
      <c r="D27">
        <v>0.12183099999999999</v>
      </c>
      <c r="E27">
        <v>2.0000000000000002E-5</v>
      </c>
      <c r="F27">
        <v>0.99997199999999997</v>
      </c>
    </row>
    <row r="28" spans="1:6" x14ac:dyDescent="0.25">
      <c r="A28" s="1" t="s">
        <v>25</v>
      </c>
      <c r="B28" s="2">
        <v>0.70405600000000002</v>
      </c>
      <c r="C28">
        <v>7.0405610000000003</v>
      </c>
      <c r="D28">
        <v>0.12183099999999999</v>
      </c>
      <c r="E28">
        <v>2.0000000000000002E-5</v>
      </c>
      <c r="F28">
        <v>0.99997199999999997</v>
      </c>
    </row>
    <row r="29" spans="1:6" x14ac:dyDescent="0.25">
      <c r="A29" s="1" t="s">
        <v>30</v>
      </c>
      <c r="B29" s="2">
        <v>0.44982100000000003</v>
      </c>
      <c r="C29">
        <v>13.508136</v>
      </c>
      <c r="D29">
        <v>0.12183099999999999</v>
      </c>
      <c r="E29">
        <v>2.0000000000000002E-5</v>
      </c>
      <c r="F29">
        <v>0.99997199999999997</v>
      </c>
    </row>
    <row r="30" spans="1:6" x14ac:dyDescent="0.25">
      <c r="A30" s="1" t="s">
        <v>10</v>
      </c>
      <c r="B30" s="2">
        <v>0.17467099999999999</v>
      </c>
      <c r="C30">
        <v>3.4934150000000002</v>
      </c>
      <c r="D30">
        <v>6.0971999999999998E-2</v>
      </c>
      <c r="E30">
        <v>9.3999999999999994E-5</v>
      </c>
      <c r="F30">
        <v>0.99994400000000006</v>
      </c>
    </row>
    <row r="31" spans="1:6" x14ac:dyDescent="0.25">
      <c r="A31" s="1" t="s">
        <v>26</v>
      </c>
      <c r="B31" s="2">
        <v>0.26232699999999998</v>
      </c>
      <c r="C31">
        <v>2.623265</v>
      </c>
      <c r="D31">
        <v>6.0970999999999997E-2</v>
      </c>
      <c r="E31">
        <v>9.3999999999999994E-5</v>
      </c>
      <c r="F31">
        <v>0.99994400000000006</v>
      </c>
    </row>
    <row r="32" spans="1:6" x14ac:dyDescent="0.25">
      <c r="A32" s="1" t="s">
        <v>31</v>
      </c>
      <c r="B32" s="2">
        <v>0.14643300000000001</v>
      </c>
      <c r="C32">
        <v>4.3973769999999996</v>
      </c>
      <c r="D32">
        <v>6.0971999999999998E-2</v>
      </c>
      <c r="E32">
        <v>9.3999999999999994E-5</v>
      </c>
      <c r="F32">
        <v>0.99994400000000006</v>
      </c>
    </row>
    <row r="37" spans="1:6" x14ac:dyDescent="0.25">
      <c r="A37" s="5" t="s">
        <v>38</v>
      </c>
      <c r="B37" s="5"/>
      <c r="C37" s="5"/>
      <c r="D37" s="5"/>
      <c r="E37" s="5"/>
      <c r="F37" s="5"/>
    </row>
    <row r="38" spans="1:6" x14ac:dyDescent="0.25">
      <c r="A38" t="s">
        <v>21</v>
      </c>
      <c r="B38" s="3" t="s">
        <v>1</v>
      </c>
      <c r="C38" t="s">
        <v>2</v>
      </c>
      <c r="D38" t="s">
        <v>3</v>
      </c>
      <c r="E38" t="s">
        <v>4</v>
      </c>
      <c r="F38" t="s">
        <v>5</v>
      </c>
    </row>
    <row r="39" spans="1:6" x14ac:dyDescent="0.25">
      <c r="A39" t="s">
        <v>6</v>
      </c>
      <c r="B39" s="3">
        <v>8.3982000000000001E-2</v>
      </c>
      <c r="C39">
        <v>1.6796500000000001</v>
      </c>
      <c r="D39">
        <v>1.4798E-2</v>
      </c>
      <c r="E39">
        <v>7.7000000000000001E-5</v>
      </c>
      <c r="F39">
        <v>0.282163</v>
      </c>
    </row>
    <row r="40" spans="1:6" x14ac:dyDescent="0.25">
      <c r="A40" t="s">
        <v>32</v>
      </c>
      <c r="B40" s="3">
        <v>8.3609000000000003E-2</v>
      </c>
      <c r="C40">
        <v>1.672175</v>
      </c>
      <c r="D40">
        <v>1.4795000000000001E-2</v>
      </c>
      <c r="E40">
        <v>7.7000000000000001E-5</v>
      </c>
      <c r="F40">
        <v>0.28215899999999999</v>
      </c>
    </row>
    <row r="41" spans="1:6" x14ac:dyDescent="0.25">
      <c r="A41" t="s">
        <v>7</v>
      </c>
      <c r="B41" s="3">
        <v>6.4954999999999999E-2</v>
      </c>
      <c r="C41">
        <v>1.2990950000000001</v>
      </c>
      <c r="D41">
        <v>2.1080000000000001E-3</v>
      </c>
      <c r="E41">
        <v>2.3612000000000001E-2</v>
      </c>
      <c r="F41">
        <v>5.5045999999999998E-2</v>
      </c>
    </row>
    <row r="42" spans="1:6" x14ac:dyDescent="0.25">
      <c r="A42" t="s">
        <v>33</v>
      </c>
      <c r="B42" s="3">
        <v>6.4892000000000005E-2</v>
      </c>
      <c r="C42">
        <v>1.297844</v>
      </c>
      <c r="D42">
        <v>2.1080000000000001E-3</v>
      </c>
      <c r="E42">
        <v>2.3612000000000001E-2</v>
      </c>
      <c r="F42">
        <v>5.5045999999999998E-2</v>
      </c>
    </row>
    <row r="43" spans="1:6" x14ac:dyDescent="0.25">
      <c r="A43" t="s">
        <v>8</v>
      </c>
      <c r="B43" s="3">
        <v>5.9395999999999997E-2</v>
      </c>
      <c r="C43">
        <v>1.1879169999999999</v>
      </c>
      <c r="D43">
        <v>1.637E-3</v>
      </c>
      <c r="E43">
        <v>2.2100000000000001E-4</v>
      </c>
      <c r="F43">
        <v>7.7759999999999996E-2</v>
      </c>
    </row>
    <row r="44" spans="1:6" x14ac:dyDescent="0.25">
      <c r="A44" t="s">
        <v>34</v>
      </c>
      <c r="B44" s="3">
        <v>5.9386000000000001E-2</v>
      </c>
      <c r="C44">
        <v>1.1877219999999999</v>
      </c>
      <c r="D44">
        <v>1.637E-3</v>
      </c>
      <c r="E44">
        <v>2.2100000000000001E-4</v>
      </c>
      <c r="F44">
        <v>7.7759999999999996E-2</v>
      </c>
    </row>
    <row r="45" spans="1:6" x14ac:dyDescent="0.25">
      <c r="A45" t="s">
        <v>9</v>
      </c>
      <c r="B45" s="3">
        <v>0.51352799999999998</v>
      </c>
      <c r="C45">
        <v>10.270554000000001</v>
      </c>
      <c r="D45">
        <v>0.12183099999999999</v>
      </c>
      <c r="E45">
        <v>2.0000000000000002E-5</v>
      </c>
      <c r="F45">
        <v>0.99997199999999997</v>
      </c>
    </row>
    <row r="46" spans="1:6" x14ac:dyDescent="0.25">
      <c r="A46" t="s">
        <v>35</v>
      </c>
      <c r="B46" s="3">
        <v>0.49312800000000001</v>
      </c>
      <c r="C46">
        <v>9.8625620000000005</v>
      </c>
      <c r="D46">
        <v>0.12183099999999999</v>
      </c>
      <c r="E46">
        <v>2.0000000000000002E-5</v>
      </c>
      <c r="F46">
        <v>0.99997199999999997</v>
      </c>
    </row>
    <row r="47" spans="1:6" x14ac:dyDescent="0.25">
      <c r="A47" t="s">
        <v>10</v>
      </c>
      <c r="B47" s="3">
        <v>0.17467099999999999</v>
      </c>
      <c r="C47">
        <v>3.4934150000000002</v>
      </c>
      <c r="D47">
        <v>6.0971999999999998E-2</v>
      </c>
      <c r="E47">
        <v>9.3999999999999994E-5</v>
      </c>
      <c r="F47">
        <v>0.99994400000000006</v>
      </c>
    </row>
    <row r="48" spans="1:6" x14ac:dyDescent="0.25">
      <c r="A48" t="s">
        <v>36</v>
      </c>
      <c r="B48" s="3">
        <v>0.17152999999999999</v>
      </c>
      <c r="C48">
        <v>3.430593</v>
      </c>
      <c r="D48">
        <v>6.0971999999999998E-2</v>
      </c>
      <c r="E48">
        <v>9.3999999999999994E-5</v>
      </c>
      <c r="F48">
        <v>0.99994400000000006</v>
      </c>
    </row>
    <row r="59" spans="1:6" x14ac:dyDescent="0.25">
      <c r="A59" s="5" t="s">
        <v>39</v>
      </c>
      <c r="B59" s="5"/>
      <c r="C59" s="5"/>
      <c r="D59" s="5"/>
      <c r="E59" s="5"/>
      <c r="F59" s="5"/>
    </row>
    <row r="60" spans="1:6" x14ac:dyDescent="0.25">
      <c r="A60" t="s">
        <v>21</v>
      </c>
      <c r="B60" s="3" t="s">
        <v>1</v>
      </c>
      <c r="C60" t="s">
        <v>2</v>
      </c>
      <c r="D60" t="s">
        <v>3</v>
      </c>
      <c r="E60" t="s">
        <v>4</v>
      </c>
      <c r="F60" t="s">
        <v>5</v>
      </c>
    </row>
    <row r="61" spans="1:6" x14ac:dyDescent="0.25">
      <c r="A61" t="s">
        <v>40</v>
      </c>
      <c r="B61" s="3">
        <v>8.4006999999999998E-2</v>
      </c>
      <c r="C61">
        <v>1.680134</v>
      </c>
      <c r="D61">
        <v>1.4799E-2</v>
      </c>
      <c r="E61">
        <v>8.3999999999999995E-5</v>
      </c>
      <c r="F61">
        <v>0.28218700000000002</v>
      </c>
    </row>
    <row r="62" spans="1:6" x14ac:dyDescent="0.25">
      <c r="A62" t="s">
        <v>6</v>
      </c>
      <c r="B62" s="3">
        <v>8.3982000000000001E-2</v>
      </c>
      <c r="C62">
        <v>1.6796500000000001</v>
      </c>
      <c r="D62">
        <v>1.4798E-2</v>
      </c>
      <c r="E62">
        <v>7.7000000000000001E-5</v>
      </c>
      <c r="F62">
        <v>0.282163</v>
      </c>
    </row>
    <row r="63" spans="1:6" x14ac:dyDescent="0.25">
      <c r="A63" t="s">
        <v>41</v>
      </c>
      <c r="B63" s="3">
        <v>8.3993999999999999E-2</v>
      </c>
      <c r="C63">
        <v>1.6798759999999999</v>
      </c>
      <c r="D63">
        <v>1.4800000000000001E-2</v>
      </c>
      <c r="E63">
        <v>7.2000000000000002E-5</v>
      </c>
      <c r="F63">
        <v>0.28214800000000001</v>
      </c>
    </row>
    <row r="64" spans="1:6" x14ac:dyDescent="0.25">
      <c r="A64" t="s">
        <v>42</v>
      </c>
      <c r="B64" s="3">
        <v>7.0115999999999998E-2</v>
      </c>
      <c r="C64">
        <v>1.4023159999999999</v>
      </c>
      <c r="D64">
        <v>2.1080000000000001E-3</v>
      </c>
      <c r="E64">
        <v>4.2936000000000002E-2</v>
      </c>
      <c r="F64">
        <v>3.1607000000000003E-2</v>
      </c>
    </row>
    <row r="65" spans="1:6" x14ac:dyDescent="0.25">
      <c r="A65" t="s">
        <v>7</v>
      </c>
      <c r="B65" s="3">
        <v>6.4954999999999999E-2</v>
      </c>
      <c r="C65">
        <v>1.2990950000000001</v>
      </c>
      <c r="D65">
        <v>2.1080000000000001E-3</v>
      </c>
      <c r="E65">
        <v>2.3612000000000001E-2</v>
      </c>
      <c r="F65">
        <v>5.5045999999999998E-2</v>
      </c>
    </row>
    <row r="66" spans="1:6" x14ac:dyDescent="0.25">
      <c r="A66" t="s">
        <v>43</v>
      </c>
      <c r="B66" s="3">
        <v>5.7779999999999998E-2</v>
      </c>
      <c r="C66">
        <v>1.1556059999999999</v>
      </c>
      <c r="D66">
        <v>2.1080000000000001E-3</v>
      </c>
      <c r="E66">
        <v>1.8E-5</v>
      </c>
      <c r="F66">
        <v>0.71187800000000001</v>
      </c>
    </row>
    <row r="67" spans="1:6" x14ac:dyDescent="0.25">
      <c r="A67" t="s">
        <v>44</v>
      </c>
      <c r="B67" s="3">
        <v>5.9431999999999999E-2</v>
      </c>
      <c r="C67">
        <v>1.188644</v>
      </c>
      <c r="D67">
        <v>1.637E-3</v>
      </c>
      <c r="E67">
        <v>5.7799999999999995E-4</v>
      </c>
      <c r="F67">
        <v>7.1410000000000001E-2</v>
      </c>
    </row>
    <row r="68" spans="1:6" x14ac:dyDescent="0.25">
      <c r="A68" t="s">
        <v>8</v>
      </c>
      <c r="B68" s="3">
        <v>5.9395999999999997E-2</v>
      </c>
      <c r="C68">
        <v>1.1879169999999999</v>
      </c>
      <c r="D68">
        <v>1.637E-3</v>
      </c>
      <c r="E68">
        <v>2.2100000000000001E-4</v>
      </c>
      <c r="F68">
        <v>7.7759999999999996E-2</v>
      </c>
    </row>
    <row r="69" spans="1:6" x14ac:dyDescent="0.25">
      <c r="A69" t="s">
        <v>45</v>
      </c>
      <c r="B69" s="3">
        <v>5.9386000000000001E-2</v>
      </c>
      <c r="C69">
        <v>1.187711</v>
      </c>
      <c r="D69">
        <v>1.6379999999999999E-3</v>
      </c>
      <c r="E69">
        <v>8.7000000000000001E-5</v>
      </c>
      <c r="F69">
        <v>8.0477000000000007E-2</v>
      </c>
    </row>
    <row r="70" spans="1:6" x14ac:dyDescent="0.25">
      <c r="A70" t="s">
        <v>46</v>
      </c>
      <c r="B70" s="3">
        <v>0.51354500000000003</v>
      </c>
      <c r="C70">
        <v>10.270894</v>
      </c>
      <c r="D70">
        <v>0.12183099999999999</v>
      </c>
      <c r="E70">
        <v>2.3E-5</v>
      </c>
      <c r="F70">
        <v>0.99995900000000004</v>
      </c>
    </row>
    <row r="71" spans="1:6" x14ac:dyDescent="0.25">
      <c r="A71" t="s">
        <v>9</v>
      </c>
      <c r="B71" s="3">
        <v>0.51352799999999998</v>
      </c>
      <c r="C71">
        <v>10.270554000000001</v>
      </c>
      <c r="D71">
        <v>0.12183099999999999</v>
      </c>
      <c r="E71">
        <v>2.0000000000000002E-5</v>
      </c>
      <c r="F71">
        <v>0.99997199999999997</v>
      </c>
    </row>
    <row r="72" spans="1:6" x14ac:dyDescent="0.25">
      <c r="A72" t="s">
        <v>47</v>
      </c>
      <c r="B72" s="3">
        <v>0.51352399999999998</v>
      </c>
      <c r="C72">
        <v>10.270481</v>
      </c>
      <c r="D72">
        <v>0.12183099999999999</v>
      </c>
      <c r="E72">
        <v>1.9000000000000001E-5</v>
      </c>
      <c r="F72">
        <v>0.99997899999999995</v>
      </c>
    </row>
    <row r="73" spans="1:6" x14ac:dyDescent="0.25">
      <c r="A73" t="s">
        <v>48</v>
      </c>
      <c r="B73" s="3">
        <v>0.17519100000000001</v>
      </c>
      <c r="C73">
        <v>3.5038119999999999</v>
      </c>
      <c r="D73">
        <v>6.0971999999999998E-2</v>
      </c>
      <c r="E73">
        <v>1.13E-4</v>
      </c>
      <c r="F73">
        <v>0.99986600000000003</v>
      </c>
    </row>
    <row r="74" spans="1:6" x14ac:dyDescent="0.25">
      <c r="A74" t="s">
        <v>10</v>
      </c>
      <c r="B74" s="3">
        <v>0.17467099999999999</v>
      </c>
      <c r="C74">
        <v>3.4934150000000002</v>
      </c>
      <c r="D74">
        <v>6.0971999999999998E-2</v>
      </c>
      <c r="E74">
        <v>9.3999999999999994E-5</v>
      </c>
      <c r="F74">
        <v>0.99994400000000006</v>
      </c>
    </row>
    <row r="75" spans="1:6" x14ac:dyDescent="0.25">
      <c r="A75" t="s">
        <v>49</v>
      </c>
      <c r="B75" s="3">
        <v>0.17467099999999999</v>
      </c>
      <c r="C75">
        <v>3.4934150000000002</v>
      </c>
      <c r="D75">
        <v>6.0971999999999998E-2</v>
      </c>
      <c r="E75">
        <v>8.7999999999999998E-5</v>
      </c>
      <c r="F75">
        <v>0.99996700000000005</v>
      </c>
    </row>
    <row r="79" spans="1:6" x14ac:dyDescent="0.25">
      <c r="A79" s="5" t="s">
        <v>60</v>
      </c>
      <c r="B79" s="5"/>
      <c r="C79" s="5"/>
      <c r="D79" s="5"/>
      <c r="E79" s="5"/>
      <c r="F79" s="5"/>
    </row>
    <row r="80" spans="1:6" x14ac:dyDescent="0.25">
      <c r="A80" t="s">
        <v>21</v>
      </c>
      <c r="B80" s="3" t="s">
        <v>1</v>
      </c>
      <c r="C80" t="s">
        <v>2</v>
      </c>
      <c r="D80" t="s">
        <v>3</v>
      </c>
      <c r="E80" t="s">
        <v>4</v>
      </c>
      <c r="F80" t="s">
        <v>5</v>
      </c>
    </row>
    <row r="81" spans="1:6" x14ac:dyDescent="0.25">
      <c r="A81" t="s">
        <v>50</v>
      </c>
      <c r="B81" s="3">
        <v>8.3998000000000003E-2</v>
      </c>
      <c r="C81">
        <v>1.6799580000000001</v>
      </c>
      <c r="D81">
        <v>1.4798E-2</v>
      </c>
      <c r="E81">
        <v>9.0000000000000006E-5</v>
      </c>
      <c r="F81">
        <v>0.28211999999999998</v>
      </c>
    </row>
    <row r="82" spans="1:6" x14ac:dyDescent="0.25">
      <c r="A82" t="s">
        <v>6</v>
      </c>
      <c r="B82" s="3">
        <v>8.3982000000000001E-2</v>
      </c>
      <c r="C82">
        <v>1.6796500000000001</v>
      </c>
      <c r="D82">
        <v>1.4798E-2</v>
      </c>
      <c r="E82">
        <v>7.7000000000000001E-5</v>
      </c>
      <c r="F82">
        <v>0.282163</v>
      </c>
    </row>
    <row r="83" spans="1:6" x14ac:dyDescent="0.25">
      <c r="A83" t="s">
        <v>51</v>
      </c>
      <c r="B83" s="3">
        <v>8.3991999999999997E-2</v>
      </c>
      <c r="C83">
        <v>1.679834</v>
      </c>
      <c r="D83">
        <v>1.4799E-2</v>
      </c>
      <c r="E83">
        <v>6.9999999999999994E-5</v>
      </c>
      <c r="F83">
        <v>0.28218799999999999</v>
      </c>
    </row>
    <row r="84" spans="1:6" x14ac:dyDescent="0.25">
      <c r="A84" t="s">
        <v>52</v>
      </c>
      <c r="B84" s="3">
        <v>6.6777000000000003E-2</v>
      </c>
      <c r="C84">
        <v>1.3355379999999999</v>
      </c>
      <c r="D84">
        <v>2.1080000000000001E-3</v>
      </c>
      <c r="E84">
        <v>3.4856999999999999E-2</v>
      </c>
      <c r="F84">
        <v>3.8453000000000001E-2</v>
      </c>
    </row>
    <row r="85" spans="1:6" x14ac:dyDescent="0.25">
      <c r="A85" t="s">
        <v>7</v>
      </c>
      <c r="B85" s="3">
        <v>6.4954999999999999E-2</v>
      </c>
      <c r="C85">
        <v>1.2990950000000001</v>
      </c>
      <c r="D85">
        <v>2.1080000000000001E-3</v>
      </c>
      <c r="E85">
        <v>2.3612000000000001E-2</v>
      </c>
      <c r="F85">
        <v>5.5045999999999998E-2</v>
      </c>
    </row>
    <row r="86" spans="1:6" x14ac:dyDescent="0.25">
      <c r="A86" t="s">
        <v>53</v>
      </c>
      <c r="B86" s="3">
        <v>5.7772999999999998E-2</v>
      </c>
      <c r="C86">
        <v>1.1554500000000001</v>
      </c>
      <c r="D86">
        <v>2.1080000000000001E-3</v>
      </c>
      <c r="E86">
        <v>1.9000000000000001E-5</v>
      </c>
      <c r="F86">
        <v>0.71186300000000002</v>
      </c>
    </row>
    <row r="87" spans="1:6" x14ac:dyDescent="0.25">
      <c r="A87" t="s">
        <v>54</v>
      </c>
      <c r="B87" s="3">
        <v>6.5851999999999994E-2</v>
      </c>
      <c r="C87">
        <v>1.317035</v>
      </c>
      <c r="D87">
        <v>1.6379999999999999E-3</v>
      </c>
      <c r="E87">
        <v>3.4157E-2</v>
      </c>
      <c r="F87">
        <v>8.4670000000000006E-3</v>
      </c>
    </row>
    <row r="88" spans="1:6" x14ac:dyDescent="0.25">
      <c r="A88" t="s">
        <v>8</v>
      </c>
      <c r="B88" s="3">
        <v>5.9395999999999997E-2</v>
      </c>
      <c r="C88">
        <v>1.1879169999999999</v>
      </c>
      <c r="D88">
        <v>1.637E-3</v>
      </c>
      <c r="E88">
        <v>2.2100000000000001E-4</v>
      </c>
      <c r="F88">
        <v>7.7759999999999996E-2</v>
      </c>
    </row>
    <row r="89" spans="1:6" x14ac:dyDescent="0.25">
      <c r="A89" t="s">
        <v>55</v>
      </c>
      <c r="B89" s="3">
        <v>5.9388999999999997E-2</v>
      </c>
      <c r="C89">
        <v>1.1877770000000001</v>
      </c>
      <c r="D89">
        <v>1.6379999999999999E-3</v>
      </c>
      <c r="E89">
        <v>1.4200000000000001E-4</v>
      </c>
      <c r="F89">
        <v>7.9268000000000005E-2</v>
      </c>
    </row>
    <row r="90" spans="1:6" x14ac:dyDescent="0.25">
      <c r="A90" t="s">
        <v>56</v>
      </c>
      <c r="B90" s="3">
        <v>0.51353599999999999</v>
      </c>
      <c r="C90">
        <v>10.270716</v>
      </c>
      <c r="D90">
        <v>0.12183099999999999</v>
      </c>
      <c r="E90">
        <v>2.1999999999999999E-5</v>
      </c>
      <c r="F90">
        <v>0.99996200000000002</v>
      </c>
    </row>
    <row r="91" spans="1:6" x14ac:dyDescent="0.25">
      <c r="A91" t="s">
        <v>9</v>
      </c>
      <c r="B91" s="3">
        <v>0.51352799999999998</v>
      </c>
      <c r="C91">
        <v>10.270554000000001</v>
      </c>
      <c r="D91">
        <v>0.12183099999999999</v>
      </c>
      <c r="E91">
        <v>2.0000000000000002E-5</v>
      </c>
      <c r="F91">
        <v>0.99997199999999997</v>
      </c>
    </row>
    <row r="92" spans="1:6" x14ac:dyDescent="0.25">
      <c r="A92" t="s">
        <v>57</v>
      </c>
      <c r="B92" s="3">
        <v>0.51353300000000002</v>
      </c>
      <c r="C92">
        <v>10.270652999999999</v>
      </c>
      <c r="D92">
        <v>0.12183099999999999</v>
      </c>
      <c r="E92">
        <v>2.0000000000000002E-5</v>
      </c>
      <c r="F92">
        <v>0.99997599999999998</v>
      </c>
    </row>
    <row r="93" spans="1:6" x14ac:dyDescent="0.25">
      <c r="A93" t="s">
        <v>58</v>
      </c>
      <c r="B93" s="3">
        <v>0.174648</v>
      </c>
      <c r="C93">
        <v>3.4929519999999998</v>
      </c>
      <c r="D93">
        <v>6.0971999999999998E-2</v>
      </c>
      <c r="E93">
        <v>1.22E-4</v>
      </c>
      <c r="F93">
        <v>0.99983</v>
      </c>
    </row>
    <row r="94" spans="1:6" x14ac:dyDescent="0.25">
      <c r="A94" t="s">
        <v>10</v>
      </c>
      <c r="B94" s="3">
        <v>0.17467099999999999</v>
      </c>
      <c r="C94">
        <v>3.4934150000000002</v>
      </c>
      <c r="D94">
        <v>6.0971999999999998E-2</v>
      </c>
      <c r="E94">
        <v>9.3999999999999994E-5</v>
      </c>
      <c r="F94">
        <v>0.99994400000000006</v>
      </c>
    </row>
    <row r="95" spans="1:6" x14ac:dyDescent="0.25">
      <c r="A95" t="s">
        <v>59</v>
      </c>
      <c r="B95" s="3">
        <v>0.17466499999999999</v>
      </c>
      <c r="C95">
        <v>3.493293</v>
      </c>
      <c r="D95">
        <v>6.0971999999999998E-2</v>
      </c>
      <c r="E95">
        <v>8.7000000000000001E-5</v>
      </c>
      <c r="F95">
        <v>0.999973</v>
      </c>
    </row>
    <row r="101" spans="1:6" x14ac:dyDescent="0.25">
      <c r="A101" s="5" t="s">
        <v>61</v>
      </c>
      <c r="B101" s="5"/>
      <c r="C101" s="5"/>
      <c r="D101" s="5"/>
      <c r="E101" s="5"/>
      <c r="F101" s="5"/>
    </row>
    <row r="102" spans="1:6" x14ac:dyDescent="0.25">
      <c r="A102" t="s">
        <v>21</v>
      </c>
      <c r="B102" s="3" t="s">
        <v>1</v>
      </c>
      <c r="C102" t="s">
        <v>2</v>
      </c>
      <c r="D102" t="s">
        <v>3</v>
      </c>
      <c r="E102" t="s">
        <v>4</v>
      </c>
      <c r="F102" t="s">
        <v>5</v>
      </c>
    </row>
    <row r="103" spans="1:6" x14ac:dyDescent="0.25">
      <c r="A103" t="s">
        <v>62</v>
      </c>
      <c r="B103" s="3">
        <v>8.5315000000000002E-2</v>
      </c>
      <c r="C103">
        <v>1.706294</v>
      </c>
      <c r="D103">
        <v>1.7943000000000001E-2</v>
      </c>
      <c r="E103">
        <v>7.7000000000000001E-5</v>
      </c>
      <c r="F103">
        <v>0.22949800000000001</v>
      </c>
    </row>
    <row r="104" spans="1:6" x14ac:dyDescent="0.25">
      <c r="A104" t="s">
        <v>6</v>
      </c>
      <c r="B104" s="3">
        <v>8.3982000000000001E-2</v>
      </c>
      <c r="C104">
        <v>1.6796500000000001</v>
      </c>
      <c r="D104">
        <v>1.4798E-2</v>
      </c>
      <c r="E104">
        <v>7.7000000000000001E-5</v>
      </c>
      <c r="F104">
        <v>0.282163</v>
      </c>
    </row>
    <row r="105" spans="1:6" x14ac:dyDescent="0.25">
      <c r="A105" t="s">
        <v>63</v>
      </c>
      <c r="B105" s="3">
        <v>8.2520999999999997E-2</v>
      </c>
      <c r="C105">
        <v>1.6504160000000001</v>
      </c>
      <c r="D105">
        <v>1.1747E-2</v>
      </c>
      <c r="E105">
        <v>7.7000000000000001E-5</v>
      </c>
      <c r="F105">
        <v>0.36313699999999999</v>
      </c>
    </row>
    <row r="106" spans="1:6" x14ac:dyDescent="0.25">
      <c r="A106" t="s">
        <v>64</v>
      </c>
      <c r="B106" s="3">
        <v>6.4989000000000005E-2</v>
      </c>
      <c r="C106">
        <v>1.2997799999999999</v>
      </c>
      <c r="D106">
        <v>2.493E-3</v>
      </c>
      <c r="E106">
        <v>2.3612000000000001E-2</v>
      </c>
      <c r="F106">
        <v>5.4349000000000001E-2</v>
      </c>
    </row>
    <row r="107" spans="1:6" x14ac:dyDescent="0.25">
      <c r="A107" t="s">
        <v>7</v>
      </c>
      <c r="B107" s="3">
        <v>6.4954999999999999E-2</v>
      </c>
      <c r="C107">
        <v>1.2990950000000001</v>
      </c>
      <c r="D107">
        <v>2.1080000000000001E-3</v>
      </c>
      <c r="E107">
        <v>2.3612000000000001E-2</v>
      </c>
      <c r="F107">
        <v>5.5045999999999998E-2</v>
      </c>
    </row>
    <row r="108" spans="1:6" x14ac:dyDescent="0.25">
      <c r="A108" t="s">
        <v>65</v>
      </c>
      <c r="B108" s="3">
        <v>6.4925999999999998E-2</v>
      </c>
      <c r="C108">
        <v>1.298527</v>
      </c>
      <c r="D108">
        <v>1.9319999999999999E-3</v>
      </c>
      <c r="E108">
        <v>2.3611E-2</v>
      </c>
      <c r="F108">
        <v>5.5391000000000003E-2</v>
      </c>
    </row>
    <row r="109" spans="1:6" x14ac:dyDescent="0.25">
      <c r="A109" t="s">
        <v>66</v>
      </c>
      <c r="B109" s="3">
        <v>5.9567000000000002E-2</v>
      </c>
      <c r="C109">
        <v>1.191346</v>
      </c>
      <c r="D109">
        <v>2.359E-3</v>
      </c>
      <c r="E109">
        <v>2.2100000000000001E-4</v>
      </c>
      <c r="F109">
        <v>5.4065000000000002E-2</v>
      </c>
    </row>
    <row r="110" spans="1:6" x14ac:dyDescent="0.25">
      <c r="A110" t="s">
        <v>8</v>
      </c>
      <c r="B110" s="3">
        <v>5.9395999999999997E-2</v>
      </c>
      <c r="C110">
        <v>1.1879169999999999</v>
      </c>
      <c r="D110">
        <v>1.637E-3</v>
      </c>
      <c r="E110">
        <v>2.2100000000000001E-4</v>
      </c>
      <c r="F110">
        <v>7.7759999999999996E-2</v>
      </c>
    </row>
    <row r="111" spans="1:6" x14ac:dyDescent="0.25">
      <c r="A111" t="s">
        <v>67</v>
      </c>
      <c r="B111" s="3">
        <v>5.9309000000000001E-2</v>
      </c>
      <c r="C111">
        <v>1.1861699999999999</v>
      </c>
      <c r="D111">
        <v>7.0100000000000002E-4</v>
      </c>
      <c r="E111">
        <v>2.12E-4</v>
      </c>
      <c r="F111">
        <v>0.17999000000000001</v>
      </c>
    </row>
    <row r="112" spans="1:6" x14ac:dyDescent="0.25">
      <c r="A112" t="s">
        <v>68</v>
      </c>
      <c r="B112" s="3">
        <v>0.51352600000000004</v>
      </c>
      <c r="C112">
        <v>10.270519999999999</v>
      </c>
      <c r="D112">
        <v>0.121833</v>
      </c>
      <c r="E112">
        <v>2.0000000000000002E-5</v>
      </c>
      <c r="F112">
        <v>0.99994799999999995</v>
      </c>
    </row>
    <row r="113" spans="1:6" x14ac:dyDescent="0.25">
      <c r="A113" t="s">
        <v>9</v>
      </c>
      <c r="B113" s="3">
        <v>0.51352799999999998</v>
      </c>
      <c r="C113">
        <v>10.270554000000001</v>
      </c>
      <c r="D113">
        <v>0.12183099999999999</v>
      </c>
      <c r="E113">
        <v>2.0000000000000002E-5</v>
      </c>
      <c r="F113">
        <v>0.99997199999999997</v>
      </c>
    </row>
    <row r="114" spans="1:6" x14ac:dyDescent="0.25">
      <c r="A114" t="s">
        <v>69</v>
      </c>
      <c r="B114" s="3">
        <v>0.51352600000000004</v>
      </c>
      <c r="C114">
        <v>10.270519999999999</v>
      </c>
      <c r="D114">
        <v>0.12183099999999999</v>
      </c>
      <c r="E114">
        <v>2.0000000000000002E-5</v>
      </c>
      <c r="F114">
        <v>0.99997599999999998</v>
      </c>
    </row>
    <row r="115" spans="1:6" x14ac:dyDescent="0.25">
      <c r="A115" t="s">
        <v>70</v>
      </c>
      <c r="B115" s="3">
        <v>0.17469100000000001</v>
      </c>
      <c r="C115">
        <v>3.4938250000000002</v>
      </c>
      <c r="D115">
        <v>6.0971999999999998E-2</v>
      </c>
      <c r="E115">
        <v>9.3999999999999994E-5</v>
      </c>
      <c r="F115">
        <v>0.999942</v>
      </c>
    </row>
    <row r="116" spans="1:6" x14ac:dyDescent="0.25">
      <c r="A116" t="s">
        <v>10</v>
      </c>
      <c r="B116" s="3">
        <v>0.17467099999999999</v>
      </c>
      <c r="C116">
        <v>3.4934150000000002</v>
      </c>
      <c r="D116">
        <v>6.0971999999999998E-2</v>
      </c>
      <c r="E116">
        <v>9.3999999999999994E-5</v>
      </c>
      <c r="F116">
        <v>0.99994400000000006</v>
      </c>
    </row>
    <row r="117" spans="1:6" x14ac:dyDescent="0.25">
      <c r="A117" t="s">
        <v>71</v>
      </c>
      <c r="B117" s="3">
        <v>0.17467099999999999</v>
      </c>
      <c r="C117">
        <v>3.4934150000000002</v>
      </c>
      <c r="D117">
        <v>6.0971999999999998E-2</v>
      </c>
      <c r="E117">
        <v>9.3999999999999994E-5</v>
      </c>
      <c r="F117">
        <v>0.99994400000000006</v>
      </c>
    </row>
    <row r="124" spans="1:6" x14ac:dyDescent="0.25">
      <c r="A124" s="5" t="s">
        <v>72</v>
      </c>
      <c r="B124" s="5"/>
      <c r="C124" s="5"/>
      <c r="D124" s="5"/>
      <c r="E124" s="5"/>
      <c r="F124" s="5"/>
    </row>
    <row r="125" spans="1:6" x14ac:dyDescent="0.25">
      <c r="A125" t="s">
        <v>21</v>
      </c>
      <c r="B125" s="3" t="s">
        <v>1</v>
      </c>
      <c r="C125" t="s">
        <v>2</v>
      </c>
      <c r="D125" t="s">
        <v>3</v>
      </c>
      <c r="E125" t="s">
        <v>4</v>
      </c>
      <c r="F125" t="s">
        <v>5</v>
      </c>
    </row>
    <row r="126" spans="1:6" x14ac:dyDescent="0.25">
      <c r="A126" t="s">
        <v>73</v>
      </c>
      <c r="B126" s="3">
        <v>8.5575999999999999E-2</v>
      </c>
      <c r="C126">
        <v>1.7115210000000001</v>
      </c>
      <c r="D126">
        <v>1.7874999999999999E-2</v>
      </c>
      <c r="E126">
        <v>7.7000000000000001E-5</v>
      </c>
      <c r="F126">
        <v>0.231125</v>
      </c>
    </row>
    <row r="127" spans="1:6" x14ac:dyDescent="0.25">
      <c r="A127" t="s">
        <v>6</v>
      </c>
      <c r="B127" s="3">
        <v>8.3982000000000001E-2</v>
      </c>
      <c r="C127">
        <v>1.6796500000000001</v>
      </c>
      <c r="D127">
        <v>1.4798E-2</v>
      </c>
      <c r="E127">
        <v>7.7000000000000001E-5</v>
      </c>
      <c r="F127">
        <v>0.282163</v>
      </c>
    </row>
    <row r="128" spans="1:6" x14ac:dyDescent="0.25">
      <c r="A128" t="s">
        <v>74</v>
      </c>
      <c r="B128" s="3">
        <v>8.3183999999999994E-2</v>
      </c>
      <c r="C128">
        <v>1.6636770000000001</v>
      </c>
      <c r="D128">
        <v>1.3334E-2</v>
      </c>
      <c r="E128">
        <v>7.7000000000000001E-5</v>
      </c>
      <c r="F128">
        <v>0.31593900000000003</v>
      </c>
    </row>
    <row r="129" spans="1:9" x14ac:dyDescent="0.25">
      <c r="A129" t="s">
        <v>75</v>
      </c>
      <c r="B129" s="3">
        <v>6.5047999999999995E-2</v>
      </c>
      <c r="C129">
        <v>1.300951</v>
      </c>
      <c r="D129">
        <v>2.8159999999999999E-3</v>
      </c>
      <c r="E129">
        <v>2.3609000000000002E-2</v>
      </c>
      <c r="F129">
        <v>5.3669000000000001E-2</v>
      </c>
    </row>
    <row r="130" spans="1:9" x14ac:dyDescent="0.25">
      <c r="A130" t="s">
        <v>7</v>
      </c>
      <c r="B130" s="3">
        <v>6.4954999999999999E-2</v>
      </c>
      <c r="C130">
        <v>1.2990950000000001</v>
      </c>
      <c r="D130">
        <v>2.1080000000000001E-3</v>
      </c>
      <c r="E130">
        <v>2.3612000000000001E-2</v>
      </c>
      <c r="F130">
        <v>5.5045999999999998E-2</v>
      </c>
      <c r="I130" s="4"/>
    </row>
    <row r="131" spans="1:9" x14ac:dyDescent="0.25">
      <c r="A131" t="s">
        <v>76</v>
      </c>
      <c r="B131" s="3">
        <v>6.4933000000000005E-2</v>
      </c>
      <c r="C131">
        <v>1.2986679999999999</v>
      </c>
      <c r="D131">
        <v>1.97E-3</v>
      </c>
      <c r="E131">
        <v>2.3611E-2</v>
      </c>
      <c r="F131">
        <v>5.5307000000000002E-2</v>
      </c>
    </row>
    <row r="132" spans="1:9" x14ac:dyDescent="0.25">
      <c r="A132" t="s">
        <v>77</v>
      </c>
      <c r="B132" s="3">
        <v>6.0574999999999997E-2</v>
      </c>
      <c r="C132">
        <v>1.2114940000000001</v>
      </c>
      <c r="D132">
        <v>3.3939999999999999E-3</v>
      </c>
      <c r="E132">
        <v>2.2100000000000001E-4</v>
      </c>
      <c r="F132">
        <v>3.8446000000000001E-2</v>
      </c>
    </row>
    <row r="133" spans="1:9" x14ac:dyDescent="0.25">
      <c r="A133" t="s">
        <v>8</v>
      </c>
      <c r="B133" s="3">
        <v>5.9395999999999997E-2</v>
      </c>
      <c r="C133">
        <v>1.1879169999999999</v>
      </c>
      <c r="D133">
        <v>1.637E-3</v>
      </c>
      <c r="E133">
        <v>2.2100000000000001E-4</v>
      </c>
      <c r="F133">
        <v>7.7759999999999996E-2</v>
      </c>
    </row>
    <row r="134" spans="1:9" x14ac:dyDescent="0.25">
      <c r="A134" t="s">
        <v>78</v>
      </c>
      <c r="B134" s="3">
        <v>5.9387000000000002E-2</v>
      </c>
      <c r="C134">
        <v>1.187732</v>
      </c>
      <c r="D134">
        <v>1.5870000000000001E-3</v>
      </c>
      <c r="E134">
        <v>2.1499999999999999E-4</v>
      </c>
      <c r="F134">
        <v>8.0373E-2</v>
      </c>
    </row>
    <row r="135" spans="1:9" x14ac:dyDescent="0.25">
      <c r="A135" t="s">
        <v>79</v>
      </c>
      <c r="B135" s="3">
        <v>0.51450099999999999</v>
      </c>
      <c r="C135">
        <v>10.290025999999999</v>
      </c>
      <c r="D135">
        <v>0.122393</v>
      </c>
      <c r="E135">
        <v>2.0000000000000002E-5</v>
      </c>
      <c r="F135">
        <v>0.99084899999999998</v>
      </c>
    </row>
    <row r="136" spans="1:9" x14ac:dyDescent="0.25">
      <c r="A136" t="s">
        <v>9</v>
      </c>
      <c r="B136" s="3">
        <v>0.51352799999999998</v>
      </c>
      <c r="C136">
        <v>10.270554000000001</v>
      </c>
      <c r="D136">
        <v>0.12183099999999999</v>
      </c>
      <c r="E136">
        <v>2.0000000000000002E-5</v>
      </c>
      <c r="F136">
        <v>0.99997199999999997</v>
      </c>
    </row>
    <row r="137" spans="1:9" x14ac:dyDescent="0.25">
      <c r="A137" t="s">
        <v>80</v>
      </c>
      <c r="B137" s="3">
        <v>0.51352600000000004</v>
      </c>
      <c r="C137">
        <v>10.270519999999999</v>
      </c>
      <c r="D137">
        <v>0.12183099999999999</v>
      </c>
      <c r="E137">
        <v>2.0000000000000002E-5</v>
      </c>
      <c r="F137">
        <v>0.99997800000000003</v>
      </c>
    </row>
    <row r="138" spans="1:9" x14ac:dyDescent="0.25">
      <c r="A138" t="s">
        <v>81</v>
      </c>
      <c r="B138" s="3">
        <v>0.17551600000000001</v>
      </c>
      <c r="C138">
        <v>3.5103249999999999</v>
      </c>
      <c r="D138">
        <v>6.1560999999999998E-2</v>
      </c>
      <c r="E138">
        <v>9.3999999999999994E-5</v>
      </c>
      <c r="F138">
        <v>0.98645700000000003</v>
      </c>
    </row>
    <row r="139" spans="1:9" x14ac:dyDescent="0.25">
      <c r="A139" t="s">
        <v>10</v>
      </c>
      <c r="B139" s="3">
        <v>0.17467099999999999</v>
      </c>
      <c r="C139">
        <v>3.4934150000000002</v>
      </c>
      <c r="D139">
        <v>6.0971999999999998E-2</v>
      </c>
      <c r="E139">
        <v>9.3999999999999994E-5</v>
      </c>
      <c r="F139">
        <v>0.99994400000000006</v>
      </c>
    </row>
    <row r="140" spans="1:9" x14ac:dyDescent="0.25">
      <c r="A140" t="s">
        <v>82</v>
      </c>
      <c r="B140" s="3">
        <v>0.17467099999999999</v>
      </c>
      <c r="C140">
        <v>3.4934150000000002</v>
      </c>
      <c r="D140">
        <v>6.0971999999999998E-2</v>
      </c>
      <c r="E140">
        <v>9.3999999999999994E-5</v>
      </c>
      <c r="F140">
        <v>0.99994499999999997</v>
      </c>
    </row>
    <row r="146" spans="1:6" x14ac:dyDescent="0.25">
      <c r="A146" s="5" t="s">
        <v>83</v>
      </c>
      <c r="B146" s="5"/>
      <c r="C146" s="5"/>
      <c r="D146" s="5"/>
      <c r="E146" s="5"/>
      <c r="F146" s="5"/>
    </row>
    <row r="147" spans="1:6" x14ac:dyDescent="0.25">
      <c r="A147" t="s">
        <v>21</v>
      </c>
      <c r="B147" s="3" t="s">
        <v>1</v>
      </c>
      <c r="C147" t="s">
        <v>2</v>
      </c>
      <c r="D147" t="s">
        <v>3</v>
      </c>
      <c r="E147" t="s">
        <v>4</v>
      </c>
      <c r="F147" t="s">
        <v>5</v>
      </c>
    </row>
    <row r="148" spans="1:6" x14ac:dyDescent="0.25">
      <c r="A148" t="s">
        <v>84</v>
      </c>
      <c r="B148" s="3">
        <v>8.5526000000000005E-2</v>
      </c>
      <c r="C148">
        <v>1.71052</v>
      </c>
      <c r="D148">
        <v>1.4796E-2</v>
      </c>
      <c r="E148">
        <v>7.7000000000000001E-5</v>
      </c>
      <c r="F148">
        <v>0.31863399999999997</v>
      </c>
    </row>
    <row r="149" spans="1:6" x14ac:dyDescent="0.25">
      <c r="A149" t="s">
        <v>6</v>
      </c>
      <c r="B149" s="3">
        <v>8.3982000000000001E-2</v>
      </c>
      <c r="C149">
        <v>1.6796500000000001</v>
      </c>
      <c r="D149">
        <v>1.4798E-2</v>
      </c>
      <c r="E149">
        <v>7.7000000000000001E-5</v>
      </c>
      <c r="F149">
        <v>0.282163</v>
      </c>
    </row>
    <row r="150" spans="1:6" x14ac:dyDescent="0.25">
      <c r="A150" t="s">
        <v>85</v>
      </c>
      <c r="B150" s="3">
        <v>8.2692000000000002E-2</v>
      </c>
      <c r="C150">
        <v>1.653848</v>
      </c>
      <c r="D150">
        <v>1.4796E-2</v>
      </c>
      <c r="E150">
        <v>7.7000000000000001E-5</v>
      </c>
      <c r="F150">
        <v>0.25173400000000001</v>
      </c>
    </row>
    <row r="151" spans="1:6" x14ac:dyDescent="0.25">
      <c r="A151" t="s">
        <v>86</v>
      </c>
      <c r="B151" s="3">
        <v>6.5186999999999995E-2</v>
      </c>
      <c r="C151">
        <v>1.30375</v>
      </c>
      <c r="D151">
        <v>2.1080000000000001E-3</v>
      </c>
      <c r="E151">
        <v>2.3612000000000001E-2</v>
      </c>
      <c r="F151">
        <v>5.9346000000000003E-2</v>
      </c>
    </row>
    <row r="152" spans="1:6" x14ac:dyDescent="0.25">
      <c r="A152" t="s">
        <v>7</v>
      </c>
      <c r="B152" s="3">
        <v>6.4954999999999999E-2</v>
      </c>
      <c r="C152">
        <v>1.2990950000000001</v>
      </c>
      <c r="D152">
        <v>2.1080000000000001E-3</v>
      </c>
      <c r="E152">
        <v>2.3612000000000001E-2</v>
      </c>
      <c r="F152">
        <v>5.5045999999999998E-2</v>
      </c>
    </row>
    <row r="153" spans="1:6" x14ac:dyDescent="0.25">
      <c r="A153" t="s">
        <v>87</v>
      </c>
      <c r="B153" s="3">
        <v>6.4925999999999998E-2</v>
      </c>
      <c r="C153">
        <v>1.2985120000000001</v>
      </c>
      <c r="D153">
        <v>2.1080000000000001E-3</v>
      </c>
      <c r="E153">
        <v>2.3612000000000001E-2</v>
      </c>
      <c r="F153">
        <v>5.4613000000000002E-2</v>
      </c>
    </row>
    <row r="154" spans="1:6" x14ac:dyDescent="0.25">
      <c r="A154" t="s">
        <v>88</v>
      </c>
      <c r="B154" s="3">
        <v>5.9395999999999997E-2</v>
      </c>
      <c r="C154">
        <v>1.1879169999999999</v>
      </c>
      <c r="D154">
        <v>1.637E-3</v>
      </c>
      <c r="E154">
        <v>2.2100000000000001E-4</v>
      </c>
      <c r="F154">
        <v>7.7759999999999996E-2</v>
      </c>
    </row>
    <row r="155" spans="1:6" x14ac:dyDescent="0.25">
      <c r="A155" t="s">
        <v>8</v>
      </c>
      <c r="B155" s="3">
        <v>5.9395999999999997E-2</v>
      </c>
      <c r="C155">
        <v>1.1879169999999999</v>
      </c>
      <c r="D155">
        <v>1.637E-3</v>
      </c>
      <c r="E155">
        <v>2.2100000000000001E-4</v>
      </c>
      <c r="F155">
        <v>7.7759999999999996E-2</v>
      </c>
    </row>
    <row r="156" spans="1:6" x14ac:dyDescent="0.25">
      <c r="A156" t="s">
        <v>89</v>
      </c>
      <c r="B156" s="3">
        <v>5.9395999999999997E-2</v>
      </c>
      <c r="C156">
        <v>1.1879169999999999</v>
      </c>
      <c r="D156">
        <v>1.637E-3</v>
      </c>
      <c r="E156">
        <v>2.2100000000000001E-4</v>
      </c>
      <c r="F156">
        <v>7.7759999999999996E-2</v>
      </c>
    </row>
    <row r="157" spans="1:6" x14ac:dyDescent="0.25">
      <c r="A157" t="s">
        <v>90</v>
      </c>
      <c r="B157" s="3">
        <v>0.51366400000000001</v>
      </c>
      <c r="C157">
        <v>10.273270999999999</v>
      </c>
      <c r="D157">
        <v>0.12183099999999999</v>
      </c>
      <c r="E157">
        <v>2.0000000000000002E-5</v>
      </c>
      <c r="F157">
        <v>0.99997199999999997</v>
      </c>
    </row>
    <row r="158" spans="1:6" x14ac:dyDescent="0.25">
      <c r="A158" t="s">
        <v>9</v>
      </c>
      <c r="B158" s="3">
        <v>0.51352799999999998</v>
      </c>
      <c r="C158">
        <v>10.270554000000001</v>
      </c>
      <c r="D158">
        <v>0.12183099999999999</v>
      </c>
      <c r="E158">
        <v>2.0000000000000002E-5</v>
      </c>
      <c r="F158">
        <v>0.99997199999999997</v>
      </c>
    </row>
    <row r="159" spans="1:6" x14ac:dyDescent="0.25">
      <c r="A159" t="s">
        <v>91</v>
      </c>
      <c r="B159" s="3">
        <v>0.51327100000000003</v>
      </c>
      <c r="C159">
        <v>10.265416999999999</v>
      </c>
      <c r="D159">
        <v>0.12183099999999999</v>
      </c>
      <c r="E159">
        <v>2.0000000000000002E-5</v>
      </c>
      <c r="F159">
        <v>0.99997199999999997</v>
      </c>
    </row>
    <row r="160" spans="1:6" x14ac:dyDescent="0.25">
      <c r="A160" t="s">
        <v>92</v>
      </c>
      <c r="B160" s="3">
        <v>0.17477200000000001</v>
      </c>
      <c r="C160">
        <v>3.495444</v>
      </c>
      <c r="D160">
        <v>6.0971999999999998E-2</v>
      </c>
      <c r="E160">
        <v>9.3999999999999994E-5</v>
      </c>
      <c r="F160">
        <v>0.99994400000000006</v>
      </c>
    </row>
    <row r="161" spans="1:6" x14ac:dyDescent="0.25">
      <c r="A161" t="s">
        <v>10</v>
      </c>
      <c r="B161" s="3">
        <v>0.17467099999999999</v>
      </c>
      <c r="C161">
        <v>3.4934150000000002</v>
      </c>
      <c r="D161">
        <v>6.0971999999999998E-2</v>
      </c>
      <c r="E161">
        <v>9.3999999999999994E-5</v>
      </c>
      <c r="F161">
        <v>0.99994400000000006</v>
      </c>
    </row>
    <row r="162" spans="1:6" x14ac:dyDescent="0.25">
      <c r="A162" t="s">
        <v>93</v>
      </c>
      <c r="B162" s="3">
        <v>0.174482</v>
      </c>
      <c r="C162">
        <v>3.4896389999999999</v>
      </c>
      <c r="D162">
        <v>6.0971999999999998E-2</v>
      </c>
      <c r="E162">
        <v>9.3999999999999994E-5</v>
      </c>
      <c r="F162">
        <v>0.99994400000000006</v>
      </c>
    </row>
    <row r="166" spans="1:6" x14ac:dyDescent="0.25">
      <c r="A166" s="5" t="s">
        <v>104</v>
      </c>
      <c r="B166" s="5"/>
      <c r="C166" s="5"/>
      <c r="D166" s="5"/>
      <c r="E166" s="5"/>
      <c r="F166" s="5"/>
    </row>
    <row r="167" spans="1:6" x14ac:dyDescent="0.25">
      <c r="A167" t="s">
        <v>21</v>
      </c>
      <c r="B167" s="3" t="s">
        <v>1</v>
      </c>
      <c r="C167" t="s">
        <v>2</v>
      </c>
      <c r="D167" t="s">
        <v>3</v>
      </c>
      <c r="E167" t="s">
        <v>4</v>
      </c>
      <c r="F167" t="s">
        <v>5</v>
      </c>
    </row>
    <row r="168" spans="1:6" x14ac:dyDescent="0.25">
      <c r="A168" t="s">
        <v>6</v>
      </c>
      <c r="B168" s="3">
        <v>8.3982000000000001E-2</v>
      </c>
      <c r="C168">
        <v>1.6796500000000001</v>
      </c>
      <c r="D168">
        <v>1.4798E-2</v>
      </c>
      <c r="E168">
        <v>7.7000000000000001E-5</v>
      </c>
      <c r="F168">
        <v>0.282163</v>
      </c>
    </row>
    <row r="169" spans="1:6" x14ac:dyDescent="0.25">
      <c r="A169" t="s">
        <v>94</v>
      </c>
      <c r="B169" s="3">
        <v>8.3942000000000003E-2</v>
      </c>
      <c r="C169">
        <v>1.678833</v>
      </c>
      <c r="D169">
        <v>1.4793000000000001E-2</v>
      </c>
      <c r="E169">
        <v>7.7000000000000001E-5</v>
      </c>
      <c r="F169">
        <v>0.28214400000000001</v>
      </c>
    </row>
    <row r="170" spans="1:6" x14ac:dyDescent="0.25">
      <c r="A170" t="s">
        <v>95</v>
      </c>
      <c r="B170" s="3">
        <v>8.4405999999999995E-2</v>
      </c>
      <c r="C170">
        <v>1.688129</v>
      </c>
      <c r="D170">
        <v>1.4791E-2</v>
      </c>
      <c r="E170">
        <v>7.7000000000000001E-5</v>
      </c>
      <c r="F170">
        <v>0.29273900000000003</v>
      </c>
    </row>
    <row r="171" spans="1:6" x14ac:dyDescent="0.25">
      <c r="A171" t="s">
        <v>7</v>
      </c>
      <c r="B171" s="3">
        <v>6.4954999999999999E-2</v>
      </c>
      <c r="C171">
        <v>1.2990950000000001</v>
      </c>
      <c r="D171">
        <v>2.1080000000000001E-3</v>
      </c>
      <c r="E171">
        <v>2.3612000000000001E-2</v>
      </c>
      <c r="F171">
        <v>5.5045999999999998E-2</v>
      </c>
    </row>
    <row r="172" spans="1:6" x14ac:dyDescent="0.25">
      <c r="A172" t="s">
        <v>96</v>
      </c>
      <c r="B172" s="3">
        <v>6.4951999999999996E-2</v>
      </c>
      <c r="C172">
        <v>1.299037</v>
      </c>
      <c r="D172">
        <v>2.1080000000000001E-3</v>
      </c>
      <c r="E172">
        <v>2.3612000000000001E-2</v>
      </c>
      <c r="F172">
        <v>5.5085000000000002E-2</v>
      </c>
    </row>
    <row r="173" spans="1:6" x14ac:dyDescent="0.25">
      <c r="A173" t="s">
        <v>97</v>
      </c>
      <c r="B173" s="3">
        <v>6.4960000000000004E-2</v>
      </c>
      <c r="C173">
        <v>1.2991919999999999</v>
      </c>
      <c r="D173">
        <v>2.1080000000000001E-3</v>
      </c>
      <c r="E173">
        <v>2.3612000000000001E-2</v>
      </c>
      <c r="F173">
        <v>5.5223000000000001E-2</v>
      </c>
    </row>
    <row r="174" spans="1:6" x14ac:dyDescent="0.25">
      <c r="A174" t="s">
        <v>8</v>
      </c>
      <c r="B174" s="3">
        <v>5.9395999999999997E-2</v>
      </c>
      <c r="C174">
        <v>1.1879169999999999</v>
      </c>
      <c r="D174">
        <v>1.637E-3</v>
      </c>
      <c r="E174">
        <v>2.2100000000000001E-4</v>
      </c>
      <c r="F174">
        <v>7.7759999999999996E-2</v>
      </c>
    </row>
    <row r="175" spans="1:6" x14ac:dyDescent="0.25">
      <c r="A175" t="s">
        <v>98</v>
      </c>
      <c r="B175" s="3">
        <v>5.9395999999999997E-2</v>
      </c>
      <c r="C175">
        <v>1.1879169999999999</v>
      </c>
      <c r="D175">
        <v>1.637E-3</v>
      </c>
      <c r="E175">
        <v>2.2100000000000001E-4</v>
      </c>
      <c r="F175">
        <v>7.7759999999999996E-2</v>
      </c>
    </row>
    <row r="176" spans="1:6" x14ac:dyDescent="0.25">
      <c r="A176" t="s">
        <v>99</v>
      </c>
      <c r="B176" s="3">
        <v>5.9395999999999997E-2</v>
      </c>
      <c r="C176">
        <v>1.1879169999999999</v>
      </c>
      <c r="D176">
        <v>1.637E-3</v>
      </c>
      <c r="E176">
        <v>2.2100000000000001E-4</v>
      </c>
      <c r="F176">
        <v>7.7759999999999996E-2</v>
      </c>
    </row>
    <row r="177" spans="1:6" x14ac:dyDescent="0.25">
      <c r="A177" t="s">
        <v>9</v>
      </c>
      <c r="B177" s="3">
        <v>0.51352799999999998</v>
      </c>
      <c r="C177">
        <v>10.270554000000001</v>
      </c>
      <c r="D177">
        <v>0.12183099999999999</v>
      </c>
      <c r="E177">
        <v>2.0000000000000002E-5</v>
      </c>
      <c r="F177">
        <v>0.99997199999999997</v>
      </c>
    </row>
    <row r="178" spans="1:6" x14ac:dyDescent="0.25">
      <c r="A178" t="s">
        <v>100</v>
      </c>
      <c r="B178" s="3">
        <v>0.51352600000000004</v>
      </c>
      <c r="C178">
        <v>10.270524999999999</v>
      </c>
      <c r="D178">
        <v>0.12183099999999999</v>
      </c>
      <c r="E178">
        <v>2.0000000000000002E-5</v>
      </c>
      <c r="F178">
        <v>0.99997199999999997</v>
      </c>
    </row>
    <row r="179" spans="1:6" x14ac:dyDescent="0.25">
      <c r="A179" t="s">
        <v>101</v>
      </c>
      <c r="B179" s="3">
        <v>0.51350700000000005</v>
      </c>
      <c r="C179">
        <v>10.27014</v>
      </c>
      <c r="D179">
        <v>0.12183099999999999</v>
      </c>
      <c r="E179">
        <v>2.0000000000000002E-5</v>
      </c>
      <c r="F179">
        <v>0.99997199999999997</v>
      </c>
    </row>
    <row r="180" spans="1:6" x14ac:dyDescent="0.25">
      <c r="A180" t="s">
        <v>10</v>
      </c>
      <c r="B180" s="3">
        <v>0.17467099999999999</v>
      </c>
      <c r="C180">
        <v>3.4934150000000002</v>
      </c>
      <c r="D180">
        <v>6.0971999999999998E-2</v>
      </c>
      <c r="E180">
        <v>9.3999999999999994E-5</v>
      </c>
      <c r="F180">
        <v>0.99994400000000006</v>
      </c>
    </row>
    <row r="181" spans="1:6" x14ac:dyDescent="0.25">
      <c r="A181" t="s">
        <v>102</v>
      </c>
      <c r="B181" s="3">
        <v>0.17467099999999999</v>
      </c>
      <c r="C181">
        <v>3.4934150000000002</v>
      </c>
      <c r="D181">
        <v>6.0971999999999998E-2</v>
      </c>
      <c r="E181">
        <v>9.3999999999999994E-5</v>
      </c>
      <c r="F181">
        <v>0.99994400000000006</v>
      </c>
    </row>
    <row r="182" spans="1:6" x14ac:dyDescent="0.25">
      <c r="A182" t="s">
        <v>103</v>
      </c>
      <c r="B182" s="3">
        <v>0.17467099999999999</v>
      </c>
      <c r="C182">
        <v>3.4934150000000002</v>
      </c>
      <c r="D182">
        <v>6.0971999999999998E-2</v>
      </c>
      <c r="E182">
        <v>9.3999999999999994E-5</v>
      </c>
      <c r="F182">
        <v>0.99994400000000006</v>
      </c>
    </row>
    <row r="187" spans="1:6" x14ac:dyDescent="0.25">
      <c r="A187" s="5" t="s">
        <v>105</v>
      </c>
      <c r="B187" s="5"/>
      <c r="C187" s="5"/>
      <c r="D187" s="5"/>
      <c r="E187" s="5"/>
      <c r="F187" s="5"/>
    </row>
    <row r="188" spans="1:6" x14ac:dyDescent="0.25">
      <c r="A188" t="s">
        <v>21</v>
      </c>
      <c r="B188" s="3" t="s">
        <v>1</v>
      </c>
      <c r="C188" t="s">
        <v>2</v>
      </c>
      <c r="D188" t="s">
        <v>3</v>
      </c>
      <c r="E188" t="s">
        <v>4</v>
      </c>
      <c r="F188" t="s">
        <v>5</v>
      </c>
    </row>
    <row r="189" spans="1:6" x14ac:dyDescent="0.25">
      <c r="A189" t="s">
        <v>106</v>
      </c>
      <c r="B189" s="3">
        <v>9.2629000000000003E-2</v>
      </c>
      <c r="C189">
        <v>1.852581</v>
      </c>
      <c r="D189">
        <v>1.8283000000000001E-2</v>
      </c>
      <c r="E189">
        <v>8.7000000000000001E-5</v>
      </c>
      <c r="F189">
        <v>0.42735699999999999</v>
      </c>
    </row>
    <row r="190" spans="1:6" x14ac:dyDescent="0.25">
      <c r="A190" t="s">
        <v>6</v>
      </c>
      <c r="B190" s="3">
        <v>8.3982000000000001E-2</v>
      </c>
      <c r="C190">
        <v>1.6796500000000001</v>
      </c>
      <c r="D190">
        <v>1.4798E-2</v>
      </c>
      <c r="E190">
        <v>7.7000000000000001E-5</v>
      </c>
      <c r="F190">
        <v>0.282163</v>
      </c>
    </row>
    <row r="191" spans="1:6" x14ac:dyDescent="0.25">
      <c r="A191" t="s">
        <v>107</v>
      </c>
      <c r="B191" s="3">
        <v>8.3329E-2</v>
      </c>
      <c r="C191">
        <v>1.6665730000000001</v>
      </c>
      <c r="D191">
        <v>1.4359E-2</v>
      </c>
      <c r="E191">
        <v>6.7000000000000002E-5</v>
      </c>
      <c r="F191">
        <v>0.173845</v>
      </c>
    </row>
    <row r="192" spans="1:6" x14ac:dyDescent="0.25">
      <c r="A192" t="s">
        <v>108</v>
      </c>
      <c r="B192" s="3">
        <v>6.3004000000000004E-2</v>
      </c>
      <c r="C192">
        <v>1.2600849999999999</v>
      </c>
      <c r="D192">
        <v>3.2079999999999999E-3</v>
      </c>
      <c r="E192">
        <v>1.3171E-2</v>
      </c>
      <c r="F192">
        <v>0.159189</v>
      </c>
    </row>
    <row r="193" spans="1:6" x14ac:dyDescent="0.25">
      <c r="A193" t="s">
        <v>7</v>
      </c>
      <c r="B193" s="3">
        <v>6.4954999999999999E-2</v>
      </c>
      <c r="C193">
        <v>1.2990950000000001</v>
      </c>
      <c r="D193">
        <v>2.1080000000000001E-3</v>
      </c>
      <c r="E193">
        <v>2.3612000000000001E-2</v>
      </c>
      <c r="F193">
        <v>5.5045999999999998E-2</v>
      </c>
    </row>
    <row r="194" spans="1:6" x14ac:dyDescent="0.25">
      <c r="A194" t="s">
        <v>109</v>
      </c>
      <c r="B194" s="3">
        <v>6.6527000000000003E-2</v>
      </c>
      <c r="C194">
        <v>1.3305340000000001</v>
      </c>
      <c r="D194">
        <v>1.384E-3</v>
      </c>
      <c r="E194">
        <v>3.5212E-2</v>
      </c>
      <c r="F194">
        <v>2.0416E-2</v>
      </c>
    </row>
    <row r="195" spans="1:6" x14ac:dyDescent="0.25">
      <c r="A195" t="s">
        <v>110</v>
      </c>
      <c r="B195" s="3">
        <v>5.9841999999999999E-2</v>
      </c>
      <c r="C195">
        <v>1.1968430000000001</v>
      </c>
      <c r="D195">
        <v>3.1340000000000001E-3</v>
      </c>
      <c r="E195">
        <v>1.9000000000000001E-4</v>
      </c>
      <c r="F195">
        <v>7.8313999999999995E-2</v>
      </c>
    </row>
    <row r="196" spans="1:6" x14ac:dyDescent="0.25">
      <c r="A196" t="s">
        <v>8</v>
      </c>
      <c r="B196" s="3">
        <v>5.9395999999999997E-2</v>
      </c>
      <c r="C196">
        <v>1.1879169999999999</v>
      </c>
      <c r="D196">
        <v>1.637E-3</v>
      </c>
      <c r="E196">
        <v>2.2100000000000001E-4</v>
      </c>
      <c r="F196">
        <v>7.7759999999999996E-2</v>
      </c>
    </row>
    <row r="197" spans="1:6" x14ac:dyDescent="0.25">
      <c r="A197" t="s">
        <v>111</v>
      </c>
      <c r="B197" s="3">
        <v>5.9098999999999999E-2</v>
      </c>
      <c r="C197">
        <v>1.181978</v>
      </c>
      <c r="D197">
        <v>8.8099999999999995E-4</v>
      </c>
      <c r="E197">
        <v>3.4499999999999998E-4</v>
      </c>
      <c r="F197">
        <v>7.2025000000000006E-2</v>
      </c>
    </row>
    <row r="198" spans="1:6" x14ac:dyDescent="0.25">
      <c r="A198" t="s">
        <v>112</v>
      </c>
      <c r="B198" s="3">
        <v>0.88268500000000005</v>
      </c>
      <c r="C198">
        <v>17.653706</v>
      </c>
      <c r="D198">
        <v>0.24365400000000001</v>
      </c>
      <c r="E198">
        <v>2.3E-5</v>
      </c>
      <c r="F198">
        <v>0.99998799999999999</v>
      </c>
    </row>
    <row r="199" spans="1:6" x14ac:dyDescent="0.25">
      <c r="A199" t="s">
        <v>9</v>
      </c>
      <c r="B199" s="3">
        <v>0.51352799999999998</v>
      </c>
      <c r="C199">
        <v>10.270554000000001</v>
      </c>
      <c r="D199">
        <v>0.12183099999999999</v>
      </c>
      <c r="E199">
        <v>2.0000000000000002E-5</v>
      </c>
      <c r="F199">
        <v>0.99997199999999997</v>
      </c>
    </row>
    <row r="200" spans="1:6" x14ac:dyDescent="0.25">
      <c r="A200" t="s">
        <v>113</v>
      </c>
      <c r="B200" s="3">
        <v>0.339974</v>
      </c>
      <c r="C200">
        <v>6.7994709999999996</v>
      </c>
      <c r="D200">
        <v>6.0921999999999997E-2</v>
      </c>
      <c r="E200">
        <v>1.5E-5</v>
      </c>
      <c r="F200">
        <v>0.99982499999999996</v>
      </c>
    </row>
    <row r="201" spans="1:6" x14ac:dyDescent="0.25">
      <c r="A201" t="s">
        <v>114</v>
      </c>
      <c r="B201" s="3">
        <v>0.280391</v>
      </c>
      <c r="C201">
        <v>5.6078270000000003</v>
      </c>
      <c r="D201">
        <v>0.12194000000000001</v>
      </c>
      <c r="E201">
        <v>8.5000000000000006E-5</v>
      </c>
      <c r="F201">
        <v>0.99997899999999995</v>
      </c>
    </row>
    <row r="202" spans="1:6" x14ac:dyDescent="0.25">
      <c r="A202" t="s">
        <v>10</v>
      </c>
      <c r="B202" s="3">
        <v>0.17467099999999999</v>
      </c>
      <c r="C202">
        <v>3.4934150000000002</v>
      </c>
      <c r="D202">
        <v>6.0971999999999998E-2</v>
      </c>
      <c r="E202">
        <v>9.3999999999999994E-5</v>
      </c>
      <c r="F202">
        <v>0.99994400000000006</v>
      </c>
    </row>
    <row r="203" spans="1:6" x14ac:dyDescent="0.25">
      <c r="A203" t="s">
        <v>115</v>
      </c>
      <c r="B203" s="3">
        <v>0.12906500000000001</v>
      </c>
      <c r="C203">
        <v>2.581299</v>
      </c>
      <c r="D203">
        <v>3.0487E-2</v>
      </c>
      <c r="E203">
        <v>1.12E-4</v>
      </c>
      <c r="F203">
        <v>0.99979899999999999</v>
      </c>
    </row>
    <row r="209" spans="1:14" ht="21" x14ac:dyDescent="0.35">
      <c r="A209" s="5" t="s">
        <v>116</v>
      </c>
      <c r="B209" s="5"/>
      <c r="C209" s="5"/>
      <c r="D209" s="5"/>
      <c r="E209" s="5"/>
      <c r="F209" s="5"/>
      <c r="N209" s="9" t="s">
        <v>174</v>
      </c>
    </row>
    <row r="210" spans="1:14" ht="30" x14ac:dyDescent="0.35">
      <c r="A210" s="8" t="s">
        <v>146</v>
      </c>
      <c r="B210" s="8" t="s">
        <v>147</v>
      </c>
      <c r="C210" s="8" t="s">
        <v>169</v>
      </c>
      <c r="D210" t="s">
        <v>21</v>
      </c>
      <c r="E210" s="3" t="s">
        <v>1</v>
      </c>
      <c r="F210" t="s">
        <v>2</v>
      </c>
      <c r="G210" t="s">
        <v>3</v>
      </c>
      <c r="H210" t="s">
        <v>4</v>
      </c>
      <c r="I210" t="s">
        <v>5</v>
      </c>
      <c r="J210" s="10" t="s">
        <v>172</v>
      </c>
      <c r="L210" s="9" t="s">
        <v>171</v>
      </c>
      <c r="M210">
        <f xml:space="preserve"> (8 * C213 * (1 + (5/10) * C214) + 8 * 1.4 * C215 * (1 + (5/10) * C216)) * (1 + ((C213+C215) / C219) * (5 / 10000)) + (C217 * (1 + (C218 / 10)) * (1 + (C217 / (C219 * 10000))))</f>
        <v>3619348.8076800001</v>
      </c>
      <c r="N210">
        <f>LOG10(M210)</f>
        <v>6.5586304394085273</v>
      </c>
    </row>
    <row r="211" spans="1:14" x14ac:dyDescent="0.25">
      <c r="A211" s="7" t="s">
        <v>148</v>
      </c>
      <c r="B211" s="7" t="s">
        <v>149</v>
      </c>
      <c r="C211" s="7" t="s">
        <v>149</v>
      </c>
      <c r="D211" t="s">
        <v>6</v>
      </c>
      <c r="E211" s="3">
        <v>8.3982000000000001E-2</v>
      </c>
      <c r="F211" s="3">
        <v>1.6796500000000001</v>
      </c>
      <c r="G211">
        <v>1.4798E-2</v>
      </c>
      <c r="H211">
        <v>7.7000000000000001E-5</v>
      </c>
      <c r="I211">
        <v>0.282163</v>
      </c>
    </row>
    <row r="212" spans="1:14" x14ac:dyDescent="0.25">
      <c r="A212" s="7" t="s">
        <v>150</v>
      </c>
      <c r="B212" s="7" t="s">
        <v>151</v>
      </c>
      <c r="C212" s="7" t="s">
        <v>151</v>
      </c>
      <c r="D212" t="s">
        <v>121</v>
      </c>
      <c r="E212" s="3">
        <v>6.343E-2</v>
      </c>
      <c r="F212" s="3">
        <v>1.9048130000000001</v>
      </c>
      <c r="G212">
        <v>1.8062000000000002E-2</v>
      </c>
      <c r="H212">
        <v>7.7000000000000001E-5</v>
      </c>
      <c r="I212">
        <v>0.31680399999999997</v>
      </c>
      <c r="J212">
        <f>$M$210 *F212</f>
        <v>6894182.6604033643</v>
      </c>
      <c r="K212">
        <f>$N$210 *F212</f>
        <v>12.492964523181076</v>
      </c>
    </row>
    <row r="213" spans="1:14" x14ac:dyDescent="0.25">
      <c r="A213" s="7" t="s">
        <v>152</v>
      </c>
      <c r="B213" s="7" t="s">
        <v>153</v>
      </c>
      <c r="C213" s="7">
        <f>1024*32</f>
        <v>32768</v>
      </c>
      <c r="D213" t="s">
        <v>7</v>
      </c>
      <c r="E213" s="3">
        <v>6.4954999999999999E-2</v>
      </c>
      <c r="F213" s="3">
        <v>1.2990950000000001</v>
      </c>
      <c r="G213">
        <v>2.1080000000000001E-3</v>
      </c>
      <c r="H213">
        <v>2.3612000000000001E-2</v>
      </c>
      <c r="I213">
        <v>5.5045999999999998E-2</v>
      </c>
    </row>
    <row r="214" spans="1:14" x14ac:dyDescent="0.25">
      <c r="A214" s="7" t="s">
        <v>154</v>
      </c>
      <c r="B214" s="7">
        <v>2</v>
      </c>
      <c r="C214" s="7">
        <v>2</v>
      </c>
      <c r="D214" t="s">
        <v>122</v>
      </c>
      <c r="E214" s="3">
        <v>4.4391E-2</v>
      </c>
      <c r="F214" s="3">
        <v>1.3330630000000001</v>
      </c>
      <c r="G214">
        <v>2.493E-3</v>
      </c>
      <c r="H214">
        <v>2.3611E-2</v>
      </c>
      <c r="I214">
        <v>6.2941999999999998E-2</v>
      </c>
      <c r="J214">
        <f>$M$210 *F214</f>
        <v>4824819.9796123244</v>
      </c>
      <c r="K214">
        <f>$N$210 *F214</f>
        <v>8.7430675694492503</v>
      </c>
    </row>
    <row r="215" spans="1:14" x14ac:dyDescent="0.25">
      <c r="A215" s="7" t="s">
        <v>155</v>
      </c>
      <c r="B215" s="7" t="s">
        <v>153</v>
      </c>
      <c r="C215" s="7">
        <f>1024*32</f>
        <v>32768</v>
      </c>
      <c r="D215" t="s">
        <v>8</v>
      </c>
      <c r="E215" s="3">
        <v>5.9395999999999997E-2</v>
      </c>
      <c r="F215" s="3">
        <v>1.1879169999999999</v>
      </c>
      <c r="G215">
        <v>1.637E-3</v>
      </c>
      <c r="H215">
        <v>2.2100000000000001E-4</v>
      </c>
      <c r="I215">
        <v>7.7759999999999996E-2</v>
      </c>
    </row>
    <row r="216" spans="1:14" x14ac:dyDescent="0.25">
      <c r="A216" s="7" t="s">
        <v>156</v>
      </c>
      <c r="B216" s="7">
        <v>2</v>
      </c>
      <c r="C216" s="7">
        <v>2</v>
      </c>
      <c r="D216" t="s">
        <v>123</v>
      </c>
      <c r="E216" s="3">
        <v>3.9761999999999999E-2</v>
      </c>
      <c r="F216" s="3">
        <v>1.194062</v>
      </c>
      <c r="G216">
        <v>2.3579999999999999E-3</v>
      </c>
      <c r="H216">
        <v>2.2100000000000001E-4</v>
      </c>
      <c r="I216">
        <v>5.4091E-2</v>
      </c>
      <c r="J216">
        <f>$M$210 *F216</f>
        <v>4321726.8759959964</v>
      </c>
      <c r="K216">
        <f>$N$210 *F216</f>
        <v>7.8314113797410245</v>
      </c>
    </row>
    <row r="217" spans="1:14" x14ac:dyDescent="0.25">
      <c r="A217" s="7" t="s">
        <v>157</v>
      </c>
      <c r="B217" s="7" t="s">
        <v>158</v>
      </c>
      <c r="C217" s="7">
        <f>1024* 512</f>
        <v>524288</v>
      </c>
      <c r="D217" t="s">
        <v>9</v>
      </c>
      <c r="E217" s="3">
        <v>0.51352799999999998</v>
      </c>
      <c r="F217" s="3">
        <v>10.270554000000001</v>
      </c>
      <c r="G217">
        <v>0.12183099999999999</v>
      </c>
      <c r="H217">
        <v>2.0000000000000002E-5</v>
      </c>
      <c r="I217">
        <v>0.99997199999999997</v>
      </c>
    </row>
    <row r="218" spans="1:14" x14ac:dyDescent="0.25">
      <c r="A218" s="7" t="s">
        <v>159</v>
      </c>
      <c r="B218" s="7">
        <v>8</v>
      </c>
      <c r="C218" s="7">
        <v>8</v>
      </c>
      <c r="D218" t="s">
        <v>124</v>
      </c>
      <c r="E218" s="3">
        <v>0.44994699999999999</v>
      </c>
      <c r="F218" s="3">
        <v>13.511922999999999</v>
      </c>
      <c r="G218">
        <v>0.121833</v>
      </c>
      <c r="H218">
        <v>2.0000000000000002E-5</v>
      </c>
      <c r="I218">
        <v>0.99994799999999995</v>
      </c>
      <c r="J218">
        <f>$M$210 *F218</f>
        <v>48904362.399513967</v>
      </c>
      <c r="K218">
        <f>$N$210 *F218</f>
        <v>88.619709482744184</v>
      </c>
    </row>
    <row r="219" spans="1:14" x14ac:dyDescent="0.25">
      <c r="A219" s="7" t="s">
        <v>160</v>
      </c>
      <c r="B219" s="7" t="s">
        <v>161</v>
      </c>
      <c r="C219" s="7">
        <v>64</v>
      </c>
      <c r="D219" t="s">
        <v>10</v>
      </c>
      <c r="E219" s="3">
        <v>0.17467099999999999</v>
      </c>
      <c r="F219" s="3">
        <v>3.4934150000000002</v>
      </c>
      <c r="G219">
        <v>6.0971999999999998E-2</v>
      </c>
      <c r="H219">
        <v>9.3999999999999994E-5</v>
      </c>
      <c r="I219">
        <v>0.99994400000000006</v>
      </c>
    </row>
    <row r="220" spans="1:14" x14ac:dyDescent="0.25">
      <c r="D220" t="s">
        <v>125</v>
      </c>
      <c r="E220" s="3">
        <v>0.14660699999999999</v>
      </c>
      <c r="F220" s="3">
        <v>4.4026040000000002</v>
      </c>
      <c r="G220">
        <v>6.0971999999999998E-2</v>
      </c>
      <c r="H220">
        <v>9.3999999999999994E-5</v>
      </c>
      <c r="I220">
        <v>0.999942</v>
      </c>
      <c r="J220">
        <f>$M$210 *F220</f>
        <v>15934559.5380872</v>
      </c>
      <c r="K220">
        <f>$N$210 *F220</f>
        <v>28.87505260706174</v>
      </c>
    </row>
    <row r="221" spans="1:14" x14ac:dyDescent="0.25">
      <c r="C221" s="3"/>
    </row>
    <row r="222" spans="1:14" x14ac:dyDescent="0.25">
      <c r="C222" s="3"/>
    </row>
    <row r="223" spans="1:14" x14ac:dyDescent="0.25">
      <c r="C223" s="3"/>
    </row>
    <row r="224" spans="1:14" x14ac:dyDescent="0.25">
      <c r="C224" s="3"/>
    </row>
    <row r="225" spans="1:14" x14ac:dyDescent="0.25">
      <c r="C225" s="3"/>
    </row>
    <row r="226" spans="1:14" x14ac:dyDescent="0.25">
      <c r="C226" s="3"/>
    </row>
    <row r="227" spans="1:14" x14ac:dyDescent="0.25">
      <c r="C227" s="3"/>
    </row>
    <row r="228" spans="1:14" x14ac:dyDescent="0.25">
      <c r="C228" s="3"/>
    </row>
    <row r="229" spans="1:14" ht="21" x14ac:dyDescent="0.35">
      <c r="A229" s="5" t="s">
        <v>117</v>
      </c>
      <c r="B229" s="5"/>
      <c r="C229" s="5"/>
      <c r="D229" s="5"/>
      <c r="E229" s="5"/>
      <c r="F229" s="5"/>
      <c r="N229" s="9" t="s">
        <v>174</v>
      </c>
    </row>
    <row r="230" spans="1:14" ht="30" x14ac:dyDescent="0.35">
      <c r="A230" s="8" t="s">
        <v>146</v>
      </c>
      <c r="B230" s="8" t="s">
        <v>147</v>
      </c>
      <c r="C230" s="8" t="s">
        <v>170</v>
      </c>
      <c r="D230" t="s">
        <v>21</v>
      </c>
      <c r="E230" s="3" t="s">
        <v>1</v>
      </c>
      <c r="F230" t="s">
        <v>2</v>
      </c>
      <c r="G230" t="s">
        <v>3</v>
      </c>
      <c r="H230" t="s">
        <v>4</v>
      </c>
      <c r="I230" t="s">
        <v>5</v>
      </c>
      <c r="J230" s="10" t="s">
        <v>172</v>
      </c>
      <c r="L230" s="9" t="s">
        <v>171</v>
      </c>
      <c r="M230">
        <f xml:space="preserve"> (8 * C233 * (1 + (5/10) * C234) + 8 * 1.4 * C235 * (1 + (5/10) * C236)) * (1 + ((C233+C235) / C239) * (5 / 10000)) + (C237 * (1 + (C238 / 10)) * (1 + (C237 / (C239 * 10000))))</f>
        <v>15667235.389439998</v>
      </c>
      <c r="N230">
        <f>LOG10(M230)</f>
        <v>7.1949923684508974</v>
      </c>
    </row>
    <row r="231" spans="1:14" x14ac:dyDescent="0.25">
      <c r="A231" s="7" t="s">
        <v>148</v>
      </c>
      <c r="B231" s="7" t="s">
        <v>149</v>
      </c>
      <c r="C231" s="7" t="s">
        <v>149</v>
      </c>
      <c r="D231" t="s">
        <v>6</v>
      </c>
      <c r="E231" s="3">
        <v>8.3982000000000001E-2</v>
      </c>
      <c r="F231" s="3">
        <v>1.6796500000000001</v>
      </c>
      <c r="G231">
        <v>1.4798E-2</v>
      </c>
      <c r="H231">
        <v>7.7000000000000001E-5</v>
      </c>
      <c r="I231">
        <v>0.282163</v>
      </c>
    </row>
    <row r="232" spans="1:14" x14ac:dyDescent="0.25">
      <c r="A232" s="7" t="s">
        <v>150</v>
      </c>
      <c r="B232" s="7" t="s">
        <v>151</v>
      </c>
      <c r="C232" s="7" t="s">
        <v>151</v>
      </c>
      <c r="D232" t="s">
        <v>126</v>
      </c>
      <c r="E232" s="3">
        <v>5.7105000000000003E-2</v>
      </c>
      <c r="F232" s="3">
        <v>1.7148509999999999</v>
      </c>
      <c r="G232">
        <v>1.2829999999999999E-2</v>
      </c>
      <c r="H232">
        <v>5.3000000000000001E-5</v>
      </c>
      <c r="I232">
        <v>0.19588900000000001</v>
      </c>
      <c r="J232">
        <f>$M$230 *F232</f>
        <v>26866974.274816569</v>
      </c>
      <c r="K232">
        <f>$N$230 *F232</f>
        <v>12.338339858030389</v>
      </c>
    </row>
    <row r="233" spans="1:14" x14ac:dyDescent="0.25">
      <c r="A233" s="7" t="s">
        <v>152</v>
      </c>
      <c r="B233" s="7" t="s">
        <v>162</v>
      </c>
      <c r="C233" s="7">
        <f>1024*64</f>
        <v>65536</v>
      </c>
      <c r="D233" t="s">
        <v>7</v>
      </c>
      <c r="E233" s="3">
        <v>6.4954999999999999E-2</v>
      </c>
      <c r="F233" s="3">
        <v>1.2990950000000001</v>
      </c>
      <c r="G233">
        <v>2.1080000000000001E-3</v>
      </c>
      <c r="H233">
        <v>2.3612000000000001E-2</v>
      </c>
      <c r="I233">
        <v>5.5045999999999998E-2</v>
      </c>
    </row>
    <row r="234" spans="1:14" x14ac:dyDescent="0.25">
      <c r="A234" s="7" t="s">
        <v>154</v>
      </c>
      <c r="B234" s="7">
        <v>4</v>
      </c>
      <c r="C234" s="7">
        <v>4</v>
      </c>
      <c r="D234" t="s">
        <v>127</v>
      </c>
      <c r="E234" s="3">
        <v>3.7836000000000002E-2</v>
      </c>
      <c r="F234" s="3">
        <v>1.1362239999999999</v>
      </c>
      <c r="G234">
        <v>1.2459999999999999E-3</v>
      </c>
      <c r="H234">
        <v>1.2999999999999999E-5</v>
      </c>
      <c r="I234">
        <v>0.596495</v>
      </c>
      <c r="J234">
        <f>$M$230 *F234</f>
        <v>17801488.863131072</v>
      </c>
      <c r="K234">
        <f>$N$230 *F234</f>
        <v>8.1751230088507523</v>
      </c>
    </row>
    <row r="235" spans="1:14" x14ac:dyDescent="0.25">
      <c r="A235" s="7" t="s">
        <v>155</v>
      </c>
      <c r="B235" s="7" t="s">
        <v>162</v>
      </c>
      <c r="C235" s="7">
        <f>1024*64</f>
        <v>65536</v>
      </c>
      <c r="D235" t="s">
        <v>8</v>
      </c>
      <c r="E235" s="3">
        <v>5.9395999999999997E-2</v>
      </c>
      <c r="F235" s="3">
        <v>1.1879169999999999</v>
      </c>
      <c r="G235">
        <v>1.637E-3</v>
      </c>
      <c r="H235">
        <v>2.2100000000000001E-4</v>
      </c>
      <c r="I235">
        <v>7.7759999999999996E-2</v>
      </c>
    </row>
    <row r="236" spans="1:14" x14ac:dyDescent="0.25">
      <c r="A236" s="7" t="s">
        <v>156</v>
      </c>
      <c r="B236" s="7">
        <v>4</v>
      </c>
      <c r="C236" s="7">
        <v>4</v>
      </c>
      <c r="D236" t="s">
        <v>128</v>
      </c>
      <c r="E236" s="3">
        <v>3.9386999999999998E-2</v>
      </c>
      <c r="F236" s="3">
        <v>1.1827859999999999</v>
      </c>
      <c r="G236">
        <v>8.5400000000000005E-4</v>
      </c>
      <c r="H236">
        <v>6.3E-5</v>
      </c>
      <c r="I236">
        <v>8.3490999999999996E-2</v>
      </c>
      <c r="J236">
        <f>$M$230 *F236</f>
        <v>18530986.677334175</v>
      </c>
      <c r="K236">
        <f>$N$230 *F236</f>
        <v>8.5101362435105621</v>
      </c>
    </row>
    <row r="237" spans="1:14" x14ac:dyDescent="0.25">
      <c r="A237" s="7" t="s">
        <v>157</v>
      </c>
      <c r="B237" s="7" t="s">
        <v>163</v>
      </c>
      <c r="C237" s="7">
        <f>1024*1024*2</f>
        <v>2097152</v>
      </c>
      <c r="D237" t="s">
        <v>9</v>
      </c>
      <c r="E237" s="3">
        <v>0.51352799999999998</v>
      </c>
      <c r="F237" s="3">
        <v>10.270554000000001</v>
      </c>
      <c r="G237">
        <v>0.12183099999999999</v>
      </c>
      <c r="H237">
        <v>2.0000000000000002E-5</v>
      </c>
      <c r="I237">
        <v>0.99997199999999997</v>
      </c>
    </row>
    <row r="238" spans="1:14" x14ac:dyDescent="0.25">
      <c r="A238" s="7" t="s">
        <v>159</v>
      </c>
      <c r="B238" s="7">
        <v>8</v>
      </c>
      <c r="C238" s="7">
        <v>8</v>
      </c>
      <c r="D238" t="s">
        <v>129</v>
      </c>
      <c r="E238" s="3">
        <v>0.29351100000000002</v>
      </c>
      <c r="F238" s="3">
        <v>8.8141440000000006</v>
      </c>
      <c r="G238">
        <v>6.0918E-2</v>
      </c>
      <c r="H238">
        <v>1.2999999999999999E-5</v>
      </c>
      <c r="I238">
        <v>0.999973</v>
      </c>
      <c r="J238">
        <f>$M$230 *F238</f>
        <v>138093268.80442023</v>
      </c>
      <c r="K238">
        <f>$N$230 *F238</f>
        <v>63.417698814427268</v>
      </c>
    </row>
    <row r="239" spans="1:14" x14ac:dyDescent="0.25">
      <c r="A239" s="7" t="s">
        <v>160</v>
      </c>
      <c r="B239" s="7" t="s">
        <v>164</v>
      </c>
      <c r="C239" s="7">
        <v>128</v>
      </c>
      <c r="D239" t="s">
        <v>10</v>
      </c>
      <c r="E239" s="3">
        <v>0.17467099999999999</v>
      </c>
      <c r="F239" s="3">
        <v>3.4934150000000002</v>
      </c>
      <c r="G239">
        <v>6.0971999999999998E-2</v>
      </c>
      <c r="H239">
        <v>9.3999999999999994E-5</v>
      </c>
      <c r="I239">
        <v>0.99994400000000006</v>
      </c>
    </row>
    <row r="240" spans="1:14" x14ac:dyDescent="0.25">
      <c r="D240" t="s">
        <v>130</v>
      </c>
      <c r="E240" s="3">
        <v>0.10168000000000001</v>
      </c>
      <c r="F240" s="3">
        <v>3.0534620000000001</v>
      </c>
      <c r="G240">
        <v>3.0487E-2</v>
      </c>
      <c r="H240">
        <v>8.7000000000000001E-5</v>
      </c>
      <c r="I240">
        <v>0.99994099999999997</v>
      </c>
      <c r="J240">
        <f>$M$230 *F240</f>
        <v>47839307.906710237</v>
      </c>
      <c r="K240">
        <f>$N$230 *F240</f>
        <v>21.969635787354814</v>
      </c>
    </row>
    <row r="241" spans="1:14" x14ac:dyDescent="0.25">
      <c r="C241" s="3"/>
    </row>
    <row r="242" spans="1:14" x14ac:dyDescent="0.25">
      <c r="C242" s="3"/>
    </row>
    <row r="243" spans="1:14" x14ac:dyDescent="0.25">
      <c r="C243" s="3"/>
    </row>
    <row r="244" spans="1:14" x14ac:dyDescent="0.25">
      <c r="C244" s="3"/>
    </row>
    <row r="245" spans="1:14" x14ac:dyDescent="0.25">
      <c r="C245" s="3"/>
    </row>
    <row r="246" spans="1:14" x14ac:dyDescent="0.25">
      <c r="C246" s="3"/>
    </row>
    <row r="247" spans="1:14" x14ac:dyDescent="0.25">
      <c r="C247" s="3"/>
    </row>
    <row r="248" spans="1:14" x14ac:dyDescent="0.25">
      <c r="C248" s="3"/>
    </row>
    <row r="249" spans="1:14" ht="21" x14ac:dyDescent="0.35">
      <c r="A249" s="5" t="s">
        <v>118</v>
      </c>
      <c r="B249" s="5"/>
      <c r="C249" s="5"/>
      <c r="D249" s="5"/>
      <c r="E249" s="5"/>
      <c r="F249" s="5"/>
      <c r="N249" s="9" t="s">
        <v>174</v>
      </c>
    </row>
    <row r="250" spans="1:14" ht="30" x14ac:dyDescent="0.35">
      <c r="A250" s="8" t="s">
        <v>146</v>
      </c>
      <c r="B250" s="8" t="s">
        <v>147</v>
      </c>
      <c r="C250" s="8" t="s">
        <v>168</v>
      </c>
      <c r="D250" t="s">
        <v>21</v>
      </c>
      <c r="E250" s="3" t="s">
        <v>1</v>
      </c>
      <c r="F250" t="s">
        <v>2</v>
      </c>
      <c r="G250" t="s">
        <v>3</v>
      </c>
      <c r="H250" t="s">
        <v>4</v>
      </c>
      <c r="I250" t="s">
        <v>5</v>
      </c>
      <c r="J250" s="10" t="s">
        <v>172</v>
      </c>
      <c r="L250" s="9" t="s">
        <v>171</v>
      </c>
      <c r="M250">
        <f xml:space="preserve"> (8 * C253 * (1 + (5/10) * C254) + 8 * 1.4 * C255 * (1 + (5/10) * C256)) * (1 + ((C253+C255) / C259) * (5 / 10000)) + (C257 * (1 + (C258 / 10)) * (1 + (C257 / (C259 * 10000))))</f>
        <v>36424761.999359995</v>
      </c>
      <c r="N250">
        <f>LOG10(M250)</f>
        <v>7.5613967227563084</v>
      </c>
    </row>
    <row r="251" spans="1:14" x14ac:dyDescent="0.25">
      <c r="A251" s="7" t="s">
        <v>148</v>
      </c>
      <c r="B251" s="7" t="s">
        <v>149</v>
      </c>
      <c r="C251" s="7" t="s">
        <v>149</v>
      </c>
      <c r="D251" t="s">
        <v>6</v>
      </c>
      <c r="E251" s="3">
        <v>8.3982000000000001E-2</v>
      </c>
      <c r="F251" s="3">
        <v>1.6796500000000001</v>
      </c>
      <c r="G251">
        <v>1.4798E-2</v>
      </c>
      <c r="H251">
        <v>7.7000000000000001E-5</v>
      </c>
      <c r="I251">
        <v>0.282163</v>
      </c>
    </row>
    <row r="252" spans="1:14" x14ac:dyDescent="0.25">
      <c r="A252" s="7" t="s">
        <v>150</v>
      </c>
      <c r="B252" s="7" t="s">
        <v>151</v>
      </c>
      <c r="C252" s="7" t="s">
        <v>151</v>
      </c>
      <c r="D252" t="s">
        <v>131</v>
      </c>
      <c r="E252" s="3">
        <v>5.6225999999999998E-2</v>
      </c>
      <c r="F252" s="3">
        <v>1.688472</v>
      </c>
      <c r="G252">
        <v>1.2819000000000001E-2</v>
      </c>
      <c r="H252">
        <v>5.3999999999999998E-5</v>
      </c>
      <c r="I252">
        <v>0.173877</v>
      </c>
      <c r="J252">
        <f>$M$250 *F252</f>
        <v>61502190.742583372</v>
      </c>
      <c r="K252">
        <f>$N$250 *F252</f>
        <v>12.767206647265789</v>
      </c>
    </row>
    <row r="253" spans="1:14" x14ac:dyDescent="0.25">
      <c r="A253" s="7" t="s">
        <v>152</v>
      </c>
      <c r="B253" s="7" t="s">
        <v>153</v>
      </c>
      <c r="C253" s="7">
        <f>1024*32</f>
        <v>32768</v>
      </c>
      <c r="D253" t="s">
        <v>7</v>
      </c>
      <c r="E253" s="3">
        <v>6.4954999999999999E-2</v>
      </c>
      <c r="F253" s="3">
        <v>1.2990950000000001</v>
      </c>
      <c r="G253">
        <v>2.1080000000000001E-3</v>
      </c>
      <c r="H253">
        <v>2.3612000000000001E-2</v>
      </c>
      <c r="I253">
        <v>5.5045999999999998E-2</v>
      </c>
    </row>
    <row r="254" spans="1:14" x14ac:dyDescent="0.25">
      <c r="A254" s="7" t="s">
        <v>154</v>
      </c>
      <c r="B254" s="7">
        <v>4</v>
      </c>
      <c r="C254" s="7">
        <v>4</v>
      </c>
      <c r="D254" t="s">
        <v>132</v>
      </c>
      <c r="E254" s="3">
        <v>3.7818999999999998E-2</v>
      </c>
      <c r="F254" s="3">
        <v>1.1357139999999999</v>
      </c>
      <c r="G254">
        <v>1.2459999999999999E-3</v>
      </c>
      <c r="H254">
        <v>2.4000000000000001E-5</v>
      </c>
      <c r="I254">
        <v>0.58558299999999996</v>
      </c>
      <c r="J254">
        <f>$M$250 *F254</f>
        <v>41368112.149341136</v>
      </c>
      <c r="K254">
        <f t="shared" ref="K254:K260" si="0">$N$250 *F254</f>
        <v>8.5875841175884577</v>
      </c>
    </row>
    <row r="255" spans="1:14" x14ac:dyDescent="0.25">
      <c r="A255" s="7" t="s">
        <v>155</v>
      </c>
      <c r="B255" s="7" t="s">
        <v>162</v>
      </c>
      <c r="C255" s="7">
        <f>1024*64</f>
        <v>65536</v>
      </c>
      <c r="D255" t="s">
        <v>8</v>
      </c>
      <c r="E255" s="3">
        <v>5.9395999999999997E-2</v>
      </c>
      <c r="F255" s="3">
        <v>1.1879169999999999</v>
      </c>
      <c r="G255">
        <v>1.637E-3</v>
      </c>
      <c r="H255">
        <v>2.2100000000000001E-4</v>
      </c>
      <c r="I255">
        <v>7.7759999999999996E-2</v>
      </c>
    </row>
    <row r="256" spans="1:14" x14ac:dyDescent="0.25">
      <c r="A256" s="7" t="s">
        <v>156</v>
      </c>
      <c r="B256" s="7">
        <v>4</v>
      </c>
      <c r="C256" s="7">
        <v>4</v>
      </c>
      <c r="D256" t="s">
        <v>133</v>
      </c>
      <c r="E256" s="3">
        <v>3.9392999999999997E-2</v>
      </c>
      <c r="F256" s="3">
        <v>1.182985</v>
      </c>
      <c r="G256">
        <v>8.5400000000000005E-4</v>
      </c>
      <c r="H256">
        <v>2.23E-4</v>
      </c>
      <c r="I256">
        <v>7.8077999999999995E-2</v>
      </c>
      <c r="J256">
        <f>$M$250 *F256</f>
        <v>43089947.07381288</v>
      </c>
      <c r="K256">
        <f t="shared" si="0"/>
        <v>8.9450189020698705</v>
      </c>
    </row>
    <row r="257" spans="1:14" x14ac:dyDescent="0.25">
      <c r="A257" s="7" t="s">
        <v>157</v>
      </c>
      <c r="B257" s="7" t="s">
        <v>165</v>
      </c>
      <c r="C257" s="7">
        <f>4* 1024*1024</f>
        <v>4194304</v>
      </c>
      <c r="D257" t="s">
        <v>9</v>
      </c>
      <c r="E257" s="3">
        <v>0.51352799999999998</v>
      </c>
      <c r="F257" s="3">
        <v>10.270554000000001</v>
      </c>
      <c r="G257">
        <v>0.12183099999999999</v>
      </c>
      <c r="H257">
        <v>2.0000000000000002E-5</v>
      </c>
      <c r="I257">
        <v>0.99997199999999997</v>
      </c>
    </row>
    <row r="258" spans="1:14" x14ac:dyDescent="0.25">
      <c r="A258" s="7" t="s">
        <v>159</v>
      </c>
      <c r="B258" s="7">
        <v>8</v>
      </c>
      <c r="C258" s="7">
        <v>8</v>
      </c>
      <c r="D258" t="s">
        <v>134</v>
      </c>
      <c r="E258" s="3">
        <v>0.29299599999999998</v>
      </c>
      <c r="F258" s="3">
        <v>8.798667</v>
      </c>
      <c r="G258">
        <v>6.0918E-2</v>
      </c>
      <c r="H258">
        <v>1.2999999999999999E-5</v>
      </c>
      <c r="I258">
        <v>0.99996700000000005</v>
      </c>
      <c r="J258">
        <f>$M$250 *F258</f>
        <v>320489351.38662279</v>
      </c>
      <c r="K258">
        <f t="shared" si="0"/>
        <v>66.530211818424078</v>
      </c>
    </row>
    <row r="259" spans="1:14" x14ac:dyDescent="0.25">
      <c r="A259" s="7" t="s">
        <v>160</v>
      </c>
      <c r="B259" s="7" t="s">
        <v>164</v>
      </c>
      <c r="C259" s="7">
        <v>128</v>
      </c>
      <c r="D259" t="s">
        <v>10</v>
      </c>
      <c r="E259" s="3">
        <v>0.17467099999999999</v>
      </c>
      <c r="F259" s="3">
        <v>3.4934150000000002</v>
      </c>
      <c r="G259">
        <v>6.0971999999999998E-2</v>
      </c>
      <c r="H259">
        <v>9.3999999999999994E-5</v>
      </c>
      <c r="I259">
        <v>0.99994400000000006</v>
      </c>
    </row>
    <row r="260" spans="1:14" x14ac:dyDescent="0.25">
      <c r="D260" t="s">
        <v>135</v>
      </c>
      <c r="E260" s="3">
        <v>0.101503</v>
      </c>
      <c r="F260" s="3">
        <v>3.0481479999999999</v>
      </c>
      <c r="G260">
        <v>3.0487E-2</v>
      </c>
      <c r="H260">
        <v>9.5000000000000005E-5</v>
      </c>
      <c r="I260">
        <v>0.99989499999999998</v>
      </c>
      <c r="J260">
        <f>$M$250 *F260</f>
        <v>111028065.43882516</v>
      </c>
      <c r="K260">
        <f t="shared" si="0"/>
        <v>23.048256297676193</v>
      </c>
    </row>
    <row r="261" spans="1:14" x14ac:dyDescent="0.25">
      <c r="D261" s="3"/>
      <c r="E261" s="3"/>
    </row>
    <row r="262" spans="1:14" x14ac:dyDescent="0.25">
      <c r="C262" s="3"/>
    </row>
    <row r="263" spans="1:14" x14ac:dyDescent="0.25">
      <c r="C263" s="3"/>
    </row>
    <row r="264" spans="1:14" x14ac:dyDescent="0.25">
      <c r="C264" s="3"/>
    </row>
    <row r="265" spans="1:14" x14ac:dyDescent="0.25">
      <c r="C265" s="3"/>
    </row>
    <row r="266" spans="1:14" s="6" customFormat="1" ht="21" x14ac:dyDescent="0.35">
      <c r="A266" s="5" t="s">
        <v>119</v>
      </c>
      <c r="B266" s="5"/>
      <c r="C266" s="5"/>
      <c r="D266" s="5"/>
      <c r="E266" s="5"/>
      <c r="F266" s="5"/>
      <c r="N266" s="9" t="s">
        <v>174</v>
      </c>
    </row>
    <row r="267" spans="1:14" ht="30" x14ac:dyDescent="0.35">
      <c r="A267" s="8" t="s">
        <v>146</v>
      </c>
      <c r="B267" s="8" t="s">
        <v>147</v>
      </c>
      <c r="C267" s="8" t="s">
        <v>169</v>
      </c>
      <c r="D267" t="s">
        <v>21</v>
      </c>
      <c r="E267" s="3" t="s">
        <v>1</v>
      </c>
      <c r="F267" t="s">
        <v>2</v>
      </c>
      <c r="G267" t="s">
        <v>3</v>
      </c>
      <c r="H267" t="s">
        <v>4</v>
      </c>
      <c r="I267" t="s">
        <v>5</v>
      </c>
      <c r="J267" s="10" t="s">
        <v>172</v>
      </c>
      <c r="L267" s="9" t="s">
        <v>171</v>
      </c>
      <c r="M267">
        <f xml:space="preserve"> (8 * C270 * (1 + (5/10) * C271) + 8 * 1.4 * C272 * (1 + (5/10) * C273)) * (1 + ((C270+C272) / C276) * (5 / 10000)) + (C274 * (1 + (C275 / 10)) * (1 + (C274 / (C276 * 10000))))</f>
        <v>29666815.508479998</v>
      </c>
      <c r="N267">
        <f>LOG10(M267)</f>
        <v>7.4722709308359034</v>
      </c>
    </row>
    <row r="268" spans="1:14" x14ac:dyDescent="0.25">
      <c r="A268" s="7" t="s">
        <v>148</v>
      </c>
      <c r="B268" s="7" t="s">
        <v>149</v>
      </c>
      <c r="C268" s="7" t="s">
        <v>149</v>
      </c>
      <c r="D268" t="s">
        <v>6</v>
      </c>
      <c r="E268" s="3">
        <v>8.3982000000000001E-2</v>
      </c>
      <c r="F268" s="3">
        <v>1.6796500000000001</v>
      </c>
      <c r="G268">
        <v>1.4798E-2</v>
      </c>
      <c r="H268">
        <v>7.7000000000000001E-5</v>
      </c>
      <c r="I268">
        <v>0.282163</v>
      </c>
    </row>
    <row r="269" spans="1:14" x14ac:dyDescent="0.25">
      <c r="A269" s="7" t="s">
        <v>150</v>
      </c>
      <c r="B269" s="7" t="s">
        <v>151</v>
      </c>
      <c r="C269" s="7" t="s">
        <v>151</v>
      </c>
      <c r="D269" t="s">
        <v>136</v>
      </c>
      <c r="E269" s="3">
        <v>5.6294999999999998E-2</v>
      </c>
      <c r="F269" s="3">
        <v>1.690542</v>
      </c>
      <c r="G269">
        <v>9.8480000000000009E-3</v>
      </c>
      <c r="H269">
        <v>5.1999999999999997E-5</v>
      </c>
      <c r="I269">
        <v>0.26017400000000002</v>
      </c>
      <c r="J269">
        <f>$M$267 *F269</f>
        <v>50152997.623336792</v>
      </c>
      <c r="K269">
        <f>$N$267 *F269</f>
        <v>12.63218784395719</v>
      </c>
    </row>
    <row r="270" spans="1:14" x14ac:dyDescent="0.25">
      <c r="A270" s="7" t="s">
        <v>152</v>
      </c>
      <c r="B270" s="7" t="s">
        <v>166</v>
      </c>
      <c r="C270" s="7">
        <f>1024 * 128</f>
        <v>131072</v>
      </c>
      <c r="D270" t="s">
        <v>7</v>
      </c>
      <c r="E270" s="3">
        <v>6.4954999999999999E-2</v>
      </c>
      <c r="F270" s="3">
        <v>1.2990950000000001</v>
      </c>
      <c r="G270">
        <v>2.1080000000000001E-3</v>
      </c>
      <c r="H270">
        <v>2.3612000000000001E-2</v>
      </c>
      <c r="I270">
        <v>5.5045999999999998E-2</v>
      </c>
    </row>
    <row r="271" spans="1:14" x14ac:dyDescent="0.25">
      <c r="A271" s="7" t="s">
        <v>154</v>
      </c>
      <c r="B271" s="7">
        <v>4</v>
      </c>
      <c r="C271" s="7">
        <v>4</v>
      </c>
      <c r="D271" t="s">
        <v>137</v>
      </c>
      <c r="E271" s="3">
        <v>3.7824999999999998E-2</v>
      </c>
      <c r="F271" s="3">
        <v>1.135899</v>
      </c>
      <c r="G271">
        <v>1.1199999999999999E-3</v>
      </c>
      <c r="H271">
        <v>1.2999999999999999E-5</v>
      </c>
      <c r="I271">
        <v>0.66083099999999995</v>
      </c>
      <c r="J271">
        <f>$M$267 *F271</f>
        <v>33698506.069266923</v>
      </c>
      <c r="K271">
        <f t="shared" ref="K271:K277" si="1">$N$267 *F271</f>
        <v>8.4877450780655721</v>
      </c>
    </row>
    <row r="272" spans="1:14" x14ac:dyDescent="0.25">
      <c r="A272" s="7" t="s">
        <v>155</v>
      </c>
      <c r="B272" s="7" t="s">
        <v>166</v>
      </c>
      <c r="C272" s="7">
        <f>1024 * 128</f>
        <v>131072</v>
      </c>
      <c r="D272" t="s">
        <v>8</v>
      </c>
      <c r="E272" s="3">
        <v>5.9395999999999997E-2</v>
      </c>
      <c r="F272" s="3">
        <v>1.1879169999999999</v>
      </c>
      <c r="G272">
        <v>1.637E-3</v>
      </c>
      <c r="H272">
        <v>2.2100000000000001E-4</v>
      </c>
      <c r="I272">
        <v>7.7759999999999996E-2</v>
      </c>
    </row>
    <row r="273" spans="1:14" x14ac:dyDescent="0.25">
      <c r="A273" s="7" t="s">
        <v>156</v>
      </c>
      <c r="B273" s="7">
        <v>4</v>
      </c>
      <c r="C273" s="7">
        <v>4</v>
      </c>
      <c r="D273" t="s">
        <v>138</v>
      </c>
      <c r="E273" s="3">
        <v>3.934E-2</v>
      </c>
      <c r="F273" s="3">
        <v>1.18137</v>
      </c>
      <c r="G273">
        <v>3.6900000000000002E-4</v>
      </c>
      <c r="H273">
        <v>5.5999999999999999E-5</v>
      </c>
      <c r="I273">
        <v>0.20111499999999999</v>
      </c>
      <c r="J273">
        <f>$M$267 *F273</f>
        <v>35047485.837253019</v>
      </c>
      <c r="K273">
        <f t="shared" si="1"/>
        <v>8.8275167095616123</v>
      </c>
    </row>
    <row r="274" spans="1:14" x14ac:dyDescent="0.25">
      <c r="A274" s="7" t="s">
        <v>157</v>
      </c>
      <c r="B274" s="7" t="s">
        <v>163</v>
      </c>
      <c r="C274" s="7">
        <f>1024*1024*2</f>
        <v>2097152</v>
      </c>
      <c r="D274" t="s">
        <v>9</v>
      </c>
      <c r="E274" s="3">
        <v>0.51352799999999998</v>
      </c>
      <c r="F274" s="3">
        <v>10.270554000000001</v>
      </c>
      <c r="G274">
        <v>0.12183099999999999</v>
      </c>
      <c r="H274">
        <v>2.0000000000000002E-5</v>
      </c>
      <c r="I274">
        <v>0.99997199999999997</v>
      </c>
    </row>
    <row r="275" spans="1:14" x14ac:dyDescent="0.25">
      <c r="A275" s="7" t="s">
        <v>159</v>
      </c>
      <c r="B275" s="7">
        <v>16</v>
      </c>
      <c r="C275" s="7">
        <v>16</v>
      </c>
      <c r="D275" t="s">
        <v>139</v>
      </c>
      <c r="E275" s="3">
        <v>0.29346</v>
      </c>
      <c r="F275" s="3">
        <v>8.8126090000000001</v>
      </c>
      <c r="G275">
        <v>6.0918E-2</v>
      </c>
      <c r="H275">
        <v>1.2999999999999999E-5</v>
      </c>
      <c r="I275">
        <v>0.99997800000000003</v>
      </c>
      <c r="J275">
        <f>$M$267 *F275</f>
        <v>261442045.35137039</v>
      </c>
      <c r="K275">
        <f t="shared" si="1"/>
        <v>65.850202055522857</v>
      </c>
    </row>
    <row r="276" spans="1:14" x14ac:dyDescent="0.25">
      <c r="A276" s="7" t="s">
        <v>160</v>
      </c>
      <c r="B276" s="7" t="s">
        <v>164</v>
      </c>
      <c r="C276" s="7">
        <v>128</v>
      </c>
      <c r="D276" t="s">
        <v>10</v>
      </c>
      <c r="E276" s="3">
        <v>0.17467099999999999</v>
      </c>
      <c r="F276" s="3">
        <v>3.4934150000000002</v>
      </c>
      <c r="G276">
        <v>6.0971999999999998E-2</v>
      </c>
      <c r="H276">
        <v>9.3999999999999994E-5</v>
      </c>
      <c r="I276">
        <v>0.99994400000000006</v>
      </c>
    </row>
    <row r="277" spans="1:14" x14ac:dyDescent="0.25">
      <c r="D277" t="s">
        <v>140</v>
      </c>
      <c r="E277" s="3">
        <v>0.10168000000000001</v>
      </c>
      <c r="F277" s="3">
        <v>3.0534409999999998</v>
      </c>
      <c r="G277">
        <v>3.0487E-2</v>
      </c>
      <c r="H277">
        <v>8.3999999999999995E-5</v>
      </c>
      <c r="I277">
        <v>0.99995800000000001</v>
      </c>
      <c r="J277">
        <f>$M$267 *F277</f>
        <v>90585870.813028663</v>
      </c>
      <c r="K277">
        <f t="shared" si="1"/>
        <v>22.81613842332251</v>
      </c>
    </row>
    <row r="280" spans="1:14" x14ac:dyDescent="0.25">
      <c r="C280" s="3"/>
    </row>
    <row r="281" spans="1:14" ht="21" x14ac:dyDescent="0.35">
      <c r="A281" s="5" t="s">
        <v>120</v>
      </c>
      <c r="B281" s="5"/>
      <c r="C281" s="5"/>
      <c r="D281" s="5"/>
      <c r="E281" s="5"/>
      <c r="F281" s="5"/>
      <c r="G281" s="5"/>
      <c r="N281" s="9" t="s">
        <v>174</v>
      </c>
    </row>
    <row r="282" spans="1:14" ht="30" x14ac:dyDescent="0.35">
      <c r="A282" s="8" t="s">
        <v>146</v>
      </c>
      <c r="B282" s="8" t="s">
        <v>147</v>
      </c>
      <c r="C282" s="8" t="s">
        <v>167</v>
      </c>
      <c r="D282" t="s">
        <v>21</v>
      </c>
      <c r="E282" s="3" t="s">
        <v>1</v>
      </c>
      <c r="F282" s="3" t="s">
        <v>2</v>
      </c>
      <c r="G282" t="s">
        <v>3</v>
      </c>
      <c r="H282" t="s">
        <v>4</v>
      </c>
      <c r="I282" t="s">
        <v>5</v>
      </c>
      <c r="J282" s="10" t="s">
        <v>172</v>
      </c>
      <c r="L282" s="9" t="s">
        <v>171</v>
      </c>
      <c r="M282">
        <f xml:space="preserve"> (8 * C285 * (1 + (5/10) * C286) + 8 * 1.4 * C287 * (1 + (5/10) * C288)) * (1 + ((C285+C287) / C291) * (5 / 10000)) + (C289 * (1 + (C290 / 10)) * (1 + (C289 / (C291 * 10000))))</f>
        <v>72107132.190719992</v>
      </c>
      <c r="N282">
        <f>LOG10(M282)</f>
        <v>7.857978223358562</v>
      </c>
    </row>
    <row r="283" spans="1:14" x14ac:dyDescent="0.25">
      <c r="A283" s="7" t="s">
        <v>148</v>
      </c>
      <c r="B283" s="7" t="s">
        <v>149</v>
      </c>
      <c r="C283" s="7" t="s">
        <v>149</v>
      </c>
      <c r="D283" t="s">
        <v>6</v>
      </c>
      <c r="E283" s="3">
        <v>8.3982000000000001E-2</v>
      </c>
      <c r="F283" s="3">
        <v>1.6796500000000001</v>
      </c>
      <c r="G283">
        <v>1.4798E-2</v>
      </c>
      <c r="H283">
        <v>7.7000000000000001E-5</v>
      </c>
      <c r="I283">
        <v>0.282163</v>
      </c>
    </row>
    <row r="284" spans="1:14" x14ac:dyDescent="0.25">
      <c r="A284" s="7" t="s">
        <v>150</v>
      </c>
      <c r="B284" s="7" t="s">
        <v>151</v>
      </c>
      <c r="C284" s="7" t="s">
        <v>151</v>
      </c>
      <c r="D284" t="s">
        <v>141</v>
      </c>
      <c r="E284" s="3">
        <v>5.5056000000000001E-2</v>
      </c>
      <c r="F284" s="3">
        <v>1.6533420000000001</v>
      </c>
      <c r="G284">
        <v>9.0699999999999999E-3</v>
      </c>
      <c r="H284">
        <v>5.1999999999999997E-5</v>
      </c>
      <c r="I284">
        <v>0.251108</v>
      </c>
      <c r="J284">
        <f>$M$282 *F284</f>
        <v>119217750.15046938</v>
      </c>
      <c r="K284">
        <f>$N$282 *F284</f>
        <v>12.991925431764093</v>
      </c>
    </row>
    <row r="285" spans="1:14" x14ac:dyDescent="0.25">
      <c r="A285" s="7" t="s">
        <v>152</v>
      </c>
      <c r="B285" s="7" t="s">
        <v>166</v>
      </c>
      <c r="C285" s="7">
        <f>1024 * 128</f>
        <v>131072</v>
      </c>
      <c r="D285" t="s">
        <v>7</v>
      </c>
      <c r="E285" s="3">
        <v>6.4954999999999999E-2</v>
      </c>
      <c r="F285" s="3">
        <v>1.2990950000000001</v>
      </c>
      <c r="G285">
        <v>2.1080000000000001E-3</v>
      </c>
      <c r="H285">
        <v>2.3612000000000001E-2</v>
      </c>
      <c r="I285">
        <v>5.5045999999999998E-2</v>
      </c>
    </row>
    <row r="286" spans="1:14" x14ac:dyDescent="0.25">
      <c r="A286" s="7" t="s">
        <v>154</v>
      </c>
      <c r="B286" s="7">
        <v>8</v>
      </c>
      <c r="C286" s="7">
        <v>8</v>
      </c>
      <c r="D286" t="s">
        <v>142</v>
      </c>
      <c r="E286" s="3">
        <v>3.7803999999999997E-2</v>
      </c>
      <c r="F286" s="3">
        <v>1.135256</v>
      </c>
      <c r="G286">
        <v>1.106E-3</v>
      </c>
      <c r="H286">
        <v>1.2999999999999999E-5</v>
      </c>
      <c r="I286">
        <v>0.65976900000000005</v>
      </c>
      <c r="J286">
        <f>$M$282 *F286</f>
        <v>81860054.462308019</v>
      </c>
      <c r="K286">
        <f t="shared" ref="K286:K292" si="2">$N$282 *F286</f>
        <v>8.9208169259371477</v>
      </c>
    </row>
    <row r="287" spans="1:14" x14ac:dyDescent="0.25">
      <c r="A287" s="7" t="s">
        <v>155</v>
      </c>
      <c r="B287" s="7" t="s">
        <v>166</v>
      </c>
      <c r="C287" s="7">
        <f>1024 * 128</f>
        <v>131072</v>
      </c>
      <c r="D287" t="s">
        <v>8</v>
      </c>
      <c r="E287" s="3">
        <v>5.9395999999999997E-2</v>
      </c>
      <c r="F287" s="3">
        <v>1.1879169999999999</v>
      </c>
      <c r="G287">
        <v>1.637E-3</v>
      </c>
      <c r="H287">
        <v>2.2100000000000001E-4</v>
      </c>
      <c r="I287">
        <v>7.7759999999999996E-2</v>
      </c>
    </row>
    <row r="288" spans="1:14" x14ac:dyDescent="0.25">
      <c r="A288" s="7" t="s">
        <v>156</v>
      </c>
      <c r="B288" s="7">
        <v>8</v>
      </c>
      <c r="C288" s="7">
        <v>8</v>
      </c>
      <c r="D288" t="s">
        <v>143</v>
      </c>
      <c r="E288" s="3">
        <v>3.9329000000000003E-2</v>
      </c>
      <c r="F288" s="3">
        <v>1.18106</v>
      </c>
      <c r="G288">
        <v>3.0200000000000002E-4</v>
      </c>
      <c r="H288">
        <v>5.5999999999999999E-5</v>
      </c>
      <c r="I288">
        <v>0.25189499999999998</v>
      </c>
      <c r="J288">
        <f>$M$282 *F288</f>
        <v>85162849.545171753</v>
      </c>
      <c r="K288">
        <f t="shared" si="2"/>
        <v>9.2807437604798633</v>
      </c>
    </row>
    <row r="289" spans="1:11" x14ac:dyDescent="0.25">
      <c r="A289" s="7" t="s">
        <v>157</v>
      </c>
      <c r="B289" s="7" t="s">
        <v>165</v>
      </c>
      <c r="C289" s="7">
        <f>4* 1024*1024</f>
        <v>4194304</v>
      </c>
      <c r="D289" t="s">
        <v>9</v>
      </c>
      <c r="E289" s="3">
        <v>0.51352799999999998</v>
      </c>
      <c r="F289" s="3">
        <v>10.270554000000001</v>
      </c>
      <c r="G289">
        <v>0.12183099999999999</v>
      </c>
      <c r="H289">
        <v>2.0000000000000002E-5</v>
      </c>
      <c r="I289">
        <v>0.99997199999999997</v>
      </c>
    </row>
    <row r="290" spans="1:11" x14ac:dyDescent="0.25">
      <c r="A290" s="7" t="s">
        <v>159</v>
      </c>
      <c r="B290" s="7">
        <v>16</v>
      </c>
      <c r="C290" s="7">
        <v>16</v>
      </c>
      <c r="D290" t="s">
        <v>144</v>
      </c>
      <c r="E290" s="3">
        <v>0.29349900000000001</v>
      </c>
      <c r="F290" s="3">
        <v>8.8137899999999991</v>
      </c>
      <c r="G290">
        <v>6.0918E-2</v>
      </c>
      <c r="H290">
        <v>1.2999999999999999E-5</v>
      </c>
      <c r="I290">
        <v>0.99997800000000003</v>
      </c>
      <c r="J290">
        <f>$M$282 *F290</f>
        <v>635537120.63124585</v>
      </c>
      <c r="K290">
        <f t="shared" si="2"/>
        <v>69.258569885255454</v>
      </c>
    </row>
    <row r="291" spans="1:11" x14ac:dyDescent="0.25">
      <c r="A291" s="7" t="s">
        <v>160</v>
      </c>
      <c r="B291" s="7" t="s">
        <v>164</v>
      </c>
      <c r="C291" s="7">
        <v>128</v>
      </c>
      <c r="D291" t="s">
        <v>10</v>
      </c>
      <c r="E291" s="3">
        <v>0.17467099999999999</v>
      </c>
      <c r="F291" s="3">
        <v>3.4934150000000002</v>
      </c>
      <c r="G291">
        <v>6.0971999999999998E-2</v>
      </c>
      <c r="H291">
        <v>9.3999999999999994E-5</v>
      </c>
      <c r="I291">
        <v>0.99994400000000006</v>
      </c>
    </row>
    <row r="292" spans="1:11" x14ac:dyDescent="0.25">
      <c r="C292" s="3"/>
      <c r="D292" t="s">
        <v>145</v>
      </c>
      <c r="E292" s="3">
        <v>0.101503</v>
      </c>
      <c r="F292" s="3">
        <v>3.0481479999999999</v>
      </c>
      <c r="G292">
        <v>3.0487E-2</v>
      </c>
      <c r="H292">
        <v>8.2999999999999998E-5</v>
      </c>
      <c r="I292">
        <v>0.99996099999999999</v>
      </c>
      <c r="J292">
        <f>$M$282 *F292</f>
        <v>219793210.77287877</v>
      </c>
      <c r="K292">
        <f t="shared" si="2"/>
        <v>23.952280605573954</v>
      </c>
    </row>
    <row r="295" spans="1:11" x14ac:dyDescent="0.25">
      <c r="A295" s="5" t="s">
        <v>175</v>
      </c>
      <c r="B295" s="5"/>
      <c r="C295" s="5"/>
      <c r="D295" s="5"/>
      <c r="E295" s="5"/>
      <c r="F295" s="5"/>
    </row>
    <row r="296" spans="1:11" x14ac:dyDescent="0.25">
      <c r="A296" s="11"/>
      <c r="B296" s="11" t="s">
        <v>173</v>
      </c>
      <c r="C296" s="11" t="s">
        <v>117</v>
      </c>
      <c r="D296" s="11" t="s">
        <v>118</v>
      </c>
      <c r="E296" s="11" t="s">
        <v>119</v>
      </c>
      <c r="F296" s="11" t="s">
        <v>120</v>
      </c>
    </row>
    <row r="297" spans="1:11" x14ac:dyDescent="0.25">
      <c r="A297" s="11" t="s">
        <v>16</v>
      </c>
      <c r="B297" s="11">
        <v>6894182.6604033643</v>
      </c>
      <c r="C297" s="11">
        <v>26866974.274816569</v>
      </c>
      <c r="D297" s="11">
        <v>61502190.742583372</v>
      </c>
      <c r="E297" s="11">
        <v>50152997.623336792</v>
      </c>
      <c r="F297" s="11">
        <v>119217750.15046938</v>
      </c>
    </row>
    <row r="298" spans="1:11" x14ac:dyDescent="0.25">
      <c r="A298" s="11" t="s">
        <v>17</v>
      </c>
      <c r="B298" s="11">
        <v>4824819.9796123244</v>
      </c>
      <c r="C298" s="11">
        <v>17801488.863131072</v>
      </c>
      <c r="D298" s="11">
        <v>41368112.149341136</v>
      </c>
      <c r="E298" s="11">
        <v>33698506.069266923</v>
      </c>
      <c r="F298" s="11">
        <v>81860054.462308019</v>
      </c>
    </row>
    <row r="299" spans="1:11" x14ac:dyDescent="0.25">
      <c r="A299" s="11" t="s">
        <v>18</v>
      </c>
      <c r="B299" s="11">
        <v>4321726.8759959964</v>
      </c>
      <c r="C299" s="11">
        <v>18530986.677334175</v>
      </c>
      <c r="D299" s="11">
        <v>43089947.07381288</v>
      </c>
      <c r="E299" s="11">
        <v>35047485.837253019</v>
      </c>
      <c r="F299" s="11">
        <v>85162849.545171753</v>
      </c>
    </row>
    <row r="300" spans="1:11" x14ac:dyDescent="0.25">
      <c r="A300" s="11" t="s">
        <v>19</v>
      </c>
      <c r="B300" s="11">
        <v>48904362.399513967</v>
      </c>
      <c r="C300" s="11">
        <v>138093268.80442023</v>
      </c>
      <c r="D300" s="11">
        <v>320489351.38662279</v>
      </c>
      <c r="E300" s="11">
        <v>261442045.35137039</v>
      </c>
      <c r="F300" s="11">
        <v>635537120.63124585</v>
      </c>
    </row>
    <row r="301" spans="1:11" x14ac:dyDescent="0.25">
      <c r="A301" s="11" t="s">
        <v>20</v>
      </c>
      <c r="B301" s="11">
        <v>15934559.5380872</v>
      </c>
      <c r="C301" s="11">
        <v>47839307.906710237</v>
      </c>
      <c r="D301" s="11">
        <v>111028065.43882516</v>
      </c>
      <c r="E301" s="11">
        <v>90585870.813028663</v>
      </c>
      <c r="F301" s="11">
        <v>219793210.77287877</v>
      </c>
    </row>
    <row r="302" spans="1:11" x14ac:dyDescent="0.25">
      <c r="A302" s="7"/>
    </row>
    <row r="303" spans="1:11" x14ac:dyDescent="0.25">
      <c r="A303" s="7"/>
    </row>
    <row r="304" spans="1:11" x14ac:dyDescent="0.25">
      <c r="A304" s="7"/>
    </row>
    <row r="305" spans="1:6" x14ac:dyDescent="0.25">
      <c r="A305" s="7"/>
    </row>
    <row r="306" spans="1:6" x14ac:dyDescent="0.25">
      <c r="A306" s="14" t="s">
        <v>176</v>
      </c>
      <c r="B306" s="14"/>
      <c r="C306" s="14"/>
      <c r="D306" s="14"/>
      <c r="E306" s="14"/>
      <c r="F306" s="14"/>
    </row>
    <row r="307" spans="1:6" x14ac:dyDescent="0.25">
      <c r="A307" s="12"/>
      <c r="B307" s="13" t="s">
        <v>173</v>
      </c>
      <c r="C307" s="13" t="s">
        <v>117</v>
      </c>
      <c r="D307" s="13" t="s">
        <v>118</v>
      </c>
      <c r="E307" s="13" t="s">
        <v>119</v>
      </c>
      <c r="F307" s="13" t="s">
        <v>120</v>
      </c>
    </row>
    <row r="308" spans="1:6" x14ac:dyDescent="0.25">
      <c r="A308" s="13" t="s">
        <v>16</v>
      </c>
      <c r="B308" s="13">
        <v>12.492964523181076</v>
      </c>
      <c r="C308" s="13">
        <v>12.338339858030389</v>
      </c>
      <c r="D308" s="13">
        <v>12.767206647265789</v>
      </c>
      <c r="E308" s="13">
        <v>12.63218784395719</v>
      </c>
      <c r="F308" s="13">
        <v>12.991925431764093</v>
      </c>
    </row>
    <row r="309" spans="1:6" x14ac:dyDescent="0.25">
      <c r="A309" s="13" t="s">
        <v>17</v>
      </c>
      <c r="B309" s="13">
        <v>8.7430675694492503</v>
      </c>
      <c r="C309" s="13">
        <v>8.1751230088507523</v>
      </c>
      <c r="D309" s="13">
        <v>8.5875841175884577</v>
      </c>
      <c r="E309" s="13">
        <v>8.4877450780655721</v>
      </c>
      <c r="F309" s="13">
        <v>8.9208169259371477</v>
      </c>
    </row>
    <row r="310" spans="1:6" x14ac:dyDescent="0.25">
      <c r="A310" s="13" t="s">
        <v>18</v>
      </c>
      <c r="B310" s="13">
        <v>7.8314113797410245</v>
      </c>
      <c r="C310" s="13">
        <v>8.5101362435105621</v>
      </c>
      <c r="D310" s="13">
        <v>8.9450189020698705</v>
      </c>
      <c r="E310" s="13">
        <v>8.8275167095616123</v>
      </c>
      <c r="F310" s="13">
        <v>9.2807437604798633</v>
      </c>
    </row>
    <row r="311" spans="1:6" x14ac:dyDescent="0.25">
      <c r="A311" s="13" t="s">
        <v>19</v>
      </c>
      <c r="B311" s="13">
        <v>88.619709482744184</v>
      </c>
      <c r="C311" s="13">
        <v>63.417698814427268</v>
      </c>
      <c r="D311" s="13">
        <v>66.530211818424078</v>
      </c>
      <c r="E311" s="13">
        <v>65.850202055522857</v>
      </c>
      <c r="F311" s="13">
        <v>69.258569885255454</v>
      </c>
    </row>
    <row r="312" spans="1:6" x14ac:dyDescent="0.25">
      <c r="A312" s="13" t="s">
        <v>20</v>
      </c>
      <c r="B312" s="13">
        <v>28.87505260706174</v>
      </c>
      <c r="C312" s="13">
        <v>21.969635787354814</v>
      </c>
      <c r="D312" s="13">
        <v>23.048256297676193</v>
      </c>
      <c r="E312" s="13">
        <v>22.81613842332251</v>
      </c>
      <c r="F312" s="13">
        <v>23.952280605573954</v>
      </c>
    </row>
    <row r="314" spans="1:6" x14ac:dyDescent="0.25">
      <c r="C314" s="3"/>
    </row>
    <row r="315" spans="1:6" x14ac:dyDescent="0.25">
      <c r="C315" s="3"/>
    </row>
    <row r="316" spans="1:6" x14ac:dyDescent="0.25">
      <c r="C316" s="3"/>
    </row>
    <row r="317" spans="1:6" x14ac:dyDescent="0.25">
      <c r="C317" s="3"/>
    </row>
    <row r="318" spans="1:6" x14ac:dyDescent="0.25">
      <c r="C318" s="3"/>
    </row>
    <row r="319" spans="1:6" x14ac:dyDescent="0.25">
      <c r="C319" s="3"/>
    </row>
    <row r="320" spans="1:6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</sheetData>
  <mergeCells count="17">
    <mergeCell ref="A295:F295"/>
    <mergeCell ref="A306:F306"/>
    <mergeCell ref="A209:F209"/>
    <mergeCell ref="A229:F229"/>
    <mergeCell ref="A249:F249"/>
    <mergeCell ref="A281:G281"/>
    <mergeCell ref="A266:F266"/>
    <mergeCell ref="A187:F187"/>
    <mergeCell ref="A1:E1"/>
    <mergeCell ref="A16:F16"/>
    <mergeCell ref="A37:F37"/>
    <mergeCell ref="A59:F59"/>
    <mergeCell ref="A79:F79"/>
    <mergeCell ref="A101:F101"/>
    <mergeCell ref="A124:F124"/>
    <mergeCell ref="A146:F146"/>
    <mergeCell ref="A166:F166"/>
  </mergeCells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Fotios Paparisvas</dc:creator>
  <cp:lastModifiedBy>Fotios Paparisvas</cp:lastModifiedBy>
  <dcterms:created xsi:type="dcterms:W3CDTF">2024-12-13T08:57:48Z</dcterms:created>
  <dcterms:modified xsi:type="dcterms:W3CDTF">2024-12-14T15:53:49Z</dcterms:modified>
</cp:coreProperties>
</file>